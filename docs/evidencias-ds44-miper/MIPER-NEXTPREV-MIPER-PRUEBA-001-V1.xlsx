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PER" sheetId="1" r:id="rId1"/>
    <sheet name="LEVANTAMIENTO" sheetId="2" r:id="rId2"/>
    <sheet name="CONTROLES" sheetId="3" r:id="rId3"/>
    <sheet name="CATALOGO ISP" sheetId="4" r:id="rId4"/>
    <sheet name="TRAZABILIDAD" sheetId="5" r:id="rId5"/>
  </sheets>
  <definedNames>
    <definedName name="_xlnm.Print_Titles" localSheetId="0">MIPER!$11:$13</definedName>
    <definedName name="_xlnm.Print_Area" localSheetId="0">MIPER!$A$1:$P$20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0"/>
      <name val="Aptos"/>
      <family val="2"/>
    </font>
    <font>
      <b/>
      <sz val="10"/>
      <name val="Aptos"/>
      <family val="2"/>
      <color rgb="FF172033"/>
    </font>
    <font>
      <b/>
      <sz val="12"/>
      <name val="Aptos Display"/>
      <family val="2"/>
      <color rgb="FFFFFFFF"/>
    </font>
    <font>
      <b/>
      <sz val="16"/>
      <name val="Aptos Display"/>
      <family val="2"/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143F73"/>
        <bgColor indexed="64"/>
      </patternFill>
    </fill>
    <fill>
      <patternFill patternType="solid">
        <fgColor rgb="FFE8EDF3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2F7D5B"/>
        <bgColor indexed="64"/>
      </patternFill>
    </fill>
    <fill>
      <patternFill patternType="solid">
        <fgColor rgb="FFDDF3E5"/>
        <bgColor indexed="64"/>
      </patternFill>
    </fill>
    <fill>
      <patternFill patternType="solid">
        <fgColor rgb="FFFFF1C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9D8DC"/>
        <bgColor indexed="64"/>
      </patternFill>
    </fill>
    <fill>
      <patternFill patternType="solid">
        <fgColor rgb="FFFFDFC2"/>
        <bgColor indexed="64"/>
      </patternFill>
    </fill>
    <fill>
      <patternFill patternType="solid">
        <fgColor rgb="FFDCE9F8"/>
        <bgColor indexed="64"/>
      </patternFill>
    </fill>
  </fills>
  <borders count="3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medium">
        <color rgb="FF2F7D5B"/>
      </top>
      <bottom style="thin">
        <color rgb="FFD6DEE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Alignment="1">
      <alignment horizontal="center" vertical="center" wrapText="1"/>
    </xf>
    <xf numFmtId="0" fontId="2" fillId="3" borderId="0" xfId="0" applyAlignment="1">
      <alignment horizontal="center" vertical="center" wrapText="1"/>
    </xf>
    <xf numFmtId="0" fontId="2" fillId="10" borderId="1" xfId="0" applyAlignment="1">
      <alignment horizontal="center" vertical="center"/>
    </xf>
    <xf numFmtId="0" fontId="1" fillId="4" borderId="1" xfId="0" applyAlignment="1">
      <alignment vertical="center" wrapText="1"/>
    </xf>
    <xf numFmtId="0" fontId="0" fillId="4" borderId="1" xfId="0" applyAlignment="1">
      <alignment vertical="center" wrapText="1"/>
    </xf>
    <xf numFmtId="0" fontId="2" fillId="3" borderId="1" xfId="0" applyAlignment="1">
      <alignment horizontal="center" vertical="center" wrapText="1"/>
    </xf>
    <xf numFmtId="0" fontId="1" fillId="5" borderId="1" xfId="0" applyAlignment="1">
      <alignment horizontal="center" vertical="center"/>
    </xf>
    <xf numFmtId="0" fontId="2" fillId="6" borderId="1" xfId="0" applyAlignment="1">
      <alignment horizontal="center" vertical="center" wrapText="1"/>
    </xf>
    <xf numFmtId="0" fontId="1" fillId="8" borderId="1" xfId="0" applyAlignment="1">
      <alignment horizontal="center" vertical="center" wrapText="1"/>
    </xf>
    <xf numFmtId="0" fontId="2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9" borderId="1" xfId="0" applyAlignment="1">
      <alignment vertical="top" wrapText="1"/>
    </xf>
    <xf numFmtId="0" fontId="0" fillId="4" borderId="1" xfId="0" applyAlignment="1">
      <alignment horizontal="center" vertical="top" wrapText="1"/>
    </xf>
    <xf numFmtId="0" fontId="1" fillId="7" borderId="1" xfId="0" applyAlignment="1">
      <alignment horizontal="center" vertical="top" wrapText="1"/>
    </xf>
    <xf numFmtId="0" fontId="1" fillId="8" borderId="1" xfId="0" applyAlignment="1">
      <alignment horizontal="center" vertical="top" wrapText="1"/>
    </xf>
    <xf numFmtId="0" fontId="1" fillId="11" borderId="1" xfId="0" applyAlignment="1">
      <alignment horizontal="center" vertical="top" wrapText="1"/>
    </xf>
    <xf numFmtId="0" fontId="2" fillId="10" borderId="1" xfId="0" applyAlignment="1">
      <alignment horizontal="center" vertical="top" wrapText="1"/>
    </xf>
    <xf numFmtId="0" fontId="0" fillId="5" borderId="1" xfId="0" applyAlignment="1">
      <alignment vertical="center" wrapText="1"/>
    </xf>
    <xf numFmtId="0" fontId="2" fillId="6" borderId="1" xfId="0" applyAlignment="1">
      <alignment vertical="center"/>
    </xf>
    <xf numFmtId="0" fontId="1" fillId="4" borderId="1" xfId="0" applyAlignment="1">
      <alignment vertical="center"/>
    </xf>
    <xf numFmtId="0" fontId="2" fillId="2" borderId="0" xfId="0" applyAlignment="1">
      <alignment horizontal="left" vertical="center"/>
    </xf>
    <xf numFmtId="0" fontId="2" fillId="6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9" borderId="1" xfId="0" applyAlignment="1">
      <alignment vertical="top" wrapText="1"/>
    </xf>
    <xf numFmtId="14" fontId="0" fillId="8" borderId="1" xfId="0" applyAlignment="1">
      <alignment horizontal="center" vertical="center"/>
    </xf>
    <xf numFmtId="14" fontId="0" fillId="7" borderId="1" xfId="0" applyAlignment="1">
      <alignment horizontal="center" vertical="center"/>
    </xf>
    <xf numFmtId="14" fontId="0" fillId="12" borderId="1" xfId="0" applyAlignment="1">
      <alignment horizontal="center" vertical="center"/>
    </xf>
    <xf numFmtId="0" fontId="0" fillId="4" borderId="1" xfId="0" applyAlignment="1">
      <alignment horizontal="center" vertical="center"/>
    </xf>
    <xf numFmtId="0" fontId="0" fillId="0" borderId="2" xfId="0" applyAlignment="1">
      <alignment vertical="top" wrapText="1"/>
    </xf>
    <xf numFmtId="0" fontId="0" fillId="9" borderId="2" xfId="0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E8EDF3"/>
          <bgColor indexed="64"/>
        </patternFill>
      </fill>
    </dxf>
    <dxf>
      <fill>
        <patternFill patternType="solid">
          <fgColor rgb="FFDDF3E5"/>
          <bgColor indexed="64"/>
        </patternFill>
      </fill>
      <font>
        <b/>
        <color rgb="FF185C37"/>
      </font>
    </dxf>
    <dxf>
      <fill>
        <patternFill patternType="solid">
          <fgColor rgb="FFFFF1C7"/>
          <bgColor indexed="64"/>
        </patternFill>
      </fill>
      <font>
        <b/>
        <color rgb="FF765400"/>
      </font>
    </dxf>
    <dxf>
      <fill>
        <patternFill patternType="solid">
          <fgColor rgb="FFFFDFC2"/>
          <bgColor indexed="64"/>
        </patternFill>
      </fill>
      <font>
        <b/>
        <color rgb="FF8A3C00"/>
      </font>
    </dxf>
    <dxf>
      <fill>
        <patternFill patternType="solid">
          <fgColor rgb="FFF9D8DC"/>
          <bgColor indexed="64"/>
        </patternFill>
      </fill>
      <font>
        <b/>
        <color rgb="FF9B1C2C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pane ySplit="13" topLeftCell="A14" activePane="bottomLeft" state="frozen"/>
    </sheetView>
  </sheetViews>
  <cols>
    <col min="1" max="1" width="18.83203125" customWidth="1"/>
    <col min="2" max="2" width="20.83203125" customWidth="1"/>
    <col min="3" max="3" width="34.83203125" customWidth="1"/>
    <col min="4" max="4" width="44.83203125" customWidth="1"/>
    <col min="5" max="5" width="28.83203125" customWidth="1"/>
    <col min="6" max="6" width="7.83203125" customWidth="1"/>
    <col min="7" max="7" width="7.83203125" customWidth="1"/>
    <col min="8" max="8" width="10.83203125" customWidth="1"/>
    <col min="9" max="9" width="20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16.83203125" customWidth="1"/>
    <col min="16" max="16" width="44.83203125" customWidth="1"/>
  </cols>
  <sheetData>
    <row r="1" ht="26" customHeight="1">
      <c r="A1" t="str" s="2">
        <v>NEXTPREV</v>
      </c>
      <c r="B1" t="str" s="2">
        <v/>
      </c>
      <c r="C1" t="str" s="2">
        <v/>
      </c>
      <c r="D1" t="str" s="1">
        <v>Matriz de identificación de peligros y evaluación de riesgos</v>
      </c>
      <c r="E1" t="str" s="1">
        <v/>
      </c>
      <c r="F1" t="str" s="1">
        <v/>
      </c>
      <c r="G1" t="str" s="1">
        <v/>
      </c>
      <c r="H1" t="str" s="1">
        <v/>
      </c>
      <c r="I1" t="str" s="1">
        <v/>
      </c>
      <c r="J1" t="str" s="1">
        <v/>
      </c>
      <c r="K1" t="str" s="1">
        <v/>
      </c>
      <c r="L1" t="str" s="1">
        <v/>
      </c>
      <c r="M1" t="str" s="1">
        <v/>
      </c>
      <c r="N1" t="str" s="1">
        <v/>
      </c>
      <c r="O1" t="str" s="1">
        <v/>
      </c>
      <c r="P1" t="str" s="1">
        <v/>
      </c>
    </row>
    <row r="2" ht="22" customHeight="1">
      <c r="A2" t="str" s="2">
        <v>Prevención con trazabilidad</v>
      </c>
      <c r="B2" t="str" s="2">
        <v/>
      </c>
      <c r="C2" t="str" s="2">
        <v/>
      </c>
      <c r="D2" t="str" s="1">
        <v/>
      </c>
      <c r="E2" t="str" s="1">
        <v/>
      </c>
      <c r="F2" t="str" s="1">
        <v/>
      </c>
      <c r="G2" t="str" s="1">
        <v/>
      </c>
      <c r="H2" t="str" s="1">
        <v/>
      </c>
      <c r="I2" t="str" s="1">
        <v/>
      </c>
      <c r="J2" t="str" s="1">
        <v/>
      </c>
      <c r="K2" t="str" s="1">
        <v/>
      </c>
      <c r="L2" t="str" s="1">
        <v/>
      </c>
      <c r="M2" t="str" s="1">
        <v/>
      </c>
      <c r="N2" t="str" s="1">
        <v/>
      </c>
      <c r="O2" t="str" s="1">
        <v/>
      </c>
      <c r="P2" t="str" s="1">
        <v/>
      </c>
    </row>
    <row r="3" ht="22" customHeight="1">
      <c r="A3" t="str" s="3">
        <v>BORRADOR — Documento no aprobado</v>
      </c>
      <c r="B3" t="str" s="3">
        <v/>
      </c>
      <c r="C3" t="str" s="3">
        <v/>
      </c>
      <c r="D3" t="str" s="3">
        <v/>
      </c>
      <c r="E3" t="str" s="3">
        <v/>
      </c>
      <c r="F3" t="str" s="3">
        <v/>
      </c>
      <c r="G3" t="str" s="3">
        <v/>
      </c>
      <c r="H3" t="str" s="3">
        <v/>
      </c>
      <c r="I3" t="str" s="3">
        <v/>
      </c>
      <c r="J3" t="str" s="3">
        <v/>
      </c>
      <c r="K3" t="str" s="3">
        <v/>
      </c>
      <c r="L3" t="str" s="3">
        <v/>
      </c>
      <c r="M3" t="str" s="3">
        <v/>
      </c>
      <c r="N3" t="str" s="3">
        <v/>
      </c>
      <c r="O3" t="str" s="3">
        <v/>
      </c>
      <c r="P3" t="str" s="3">
        <v/>
      </c>
    </row>
    <row r="4" ht="22" customHeight="1">
      <c r="A4" t="str" s="4">
        <v>Código</v>
      </c>
      <c r="B4" t="str" s="5">
        <v>MIPER-001</v>
      </c>
      <c r="C4" t="str" s="5">
        <v/>
      </c>
      <c r="D4" t="str" s="5">
        <v/>
      </c>
      <c r="E4" t="str" s="4">
        <v>Versión</v>
      </c>
      <c r="F4" s="5">
        <v>3</v>
      </c>
      <c r="G4" t="str" s="5">
        <v/>
      </c>
      <c r="H4" t="str" s="5">
        <v/>
      </c>
      <c r="I4" t="str" s="4">
        <v>Estado</v>
      </c>
      <c r="J4" t="str" s="5">
        <v>borrador</v>
      </c>
      <c r="K4" t="str" s="5">
        <v/>
      </c>
      <c r="L4" t="str" s="5">
        <v/>
      </c>
      <c r="M4" t="str" s="4">
        <v>Fecha elaboración</v>
      </c>
      <c r="N4" t="str" s="5">
        <v>2026-07-20</v>
      </c>
      <c r="O4" t="str" s="5">
        <v/>
      </c>
      <c r="P4" t="str" s="5">
        <v/>
      </c>
    </row>
    <row r="5" ht="22" customHeight="1">
      <c r="A5" t="str" s="4">
        <v>Entidad empleadora</v>
      </c>
      <c r="B5" t="str" s="5">
        <v>Empresa Demo</v>
      </c>
      <c r="C5" t="str" s="5">
        <v/>
      </c>
      <c r="D5" t="str" s="5">
        <v/>
      </c>
      <c r="E5" t="str" s="4">
        <v>RUT</v>
      </c>
      <c r="F5" t="str" s="5">
        <v>76.000.000-1</v>
      </c>
      <c r="G5" t="str" s="5">
        <v/>
      </c>
      <c r="H5" t="str" s="5">
        <v/>
      </c>
      <c r="I5" t="str" s="4">
        <v>Centro de trabajo</v>
      </c>
      <c r="J5" t="str" s="5">
        <v>Centro Norte</v>
      </c>
      <c r="K5" t="str" s="5">
        <v/>
      </c>
      <c r="L5" t="str" s="5">
        <v/>
      </c>
      <c r="M5" t="str" s="4">
        <v>Área</v>
      </c>
      <c r="N5" t="str" s="5">
        <v>Operaciones</v>
      </c>
      <c r="O5" t="str" s="5">
        <v/>
      </c>
      <c r="P5" t="str" s="5">
        <v/>
      </c>
    </row>
    <row r="6" ht="22" customHeight="1">
      <c r="A6" t="str" s="4">
        <v>Proceso</v>
      </c>
      <c r="B6" t="str" s="5">
        <v>Operacion mina</v>
      </c>
      <c r="C6" t="str" s="5">
        <v/>
      </c>
      <c r="D6" t="str" s="5">
        <v/>
      </c>
      <c r="E6" t="str" s="4">
        <v>Tipo</v>
      </c>
      <c r="F6" t="str" s="5">
        <v>operacional</v>
      </c>
      <c r="G6" t="str" s="5">
        <v/>
      </c>
      <c r="H6" t="str" s="5">
        <v/>
      </c>
      <c r="I6" t="str" s="4">
        <v>Responsable proceso</v>
      </c>
      <c r="J6" t="str" s="5">
        <v>Camila Soto</v>
      </c>
      <c r="K6" t="str" s="5">
        <v/>
      </c>
      <c r="L6" t="str" s="5">
        <v/>
      </c>
      <c r="M6" t="str" s="4">
        <v>Próxima revisión</v>
      </c>
      <c r="N6" t="str" s="5">
        <v>2027-07-20</v>
      </c>
      <c r="O6" t="str" s="5">
        <v/>
      </c>
      <c r="P6" t="str" s="5">
        <v/>
      </c>
    </row>
    <row r="7" ht="8" customHeight="1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 ht="24" customHeight="1">
      <c r="A8" t="str" s="6">
        <v>Cargos</v>
      </c>
      <c r="B8" t="str" s="6">
        <v/>
      </c>
      <c r="C8" t="str" s="6">
        <v>Tareas</v>
      </c>
      <c r="D8" t="str" s="6">
        <v/>
      </c>
      <c r="E8" t="str" s="6">
        <v>Riesgos confirmados</v>
      </c>
      <c r="F8" t="str" s="6">
        <v/>
      </c>
      <c r="G8" t="str" s="6">
        <v>Evaluaciones pendientes</v>
      </c>
      <c r="H8" t="str" s="6">
        <v/>
      </c>
      <c r="I8" t="str" s="6">
        <v>Controles pendientes</v>
      </c>
      <c r="J8" t="str" s="6">
        <v/>
      </c>
      <c r="K8" t="str" s="6">
        <v>Riesgos importantes</v>
      </c>
      <c r="L8" t="str" s="6">
        <v/>
      </c>
      <c r="M8" t="str" s="6">
        <v>Riesgos intolerables</v>
      </c>
      <c r="N8" t="str" s="6">
        <v/>
      </c>
      <c r="O8" t="str">
        <v/>
      </c>
      <c r="P8" t="str">
        <v/>
      </c>
    </row>
    <row r="9" ht="28" customHeight="1">
      <c r="A9" s="7">
        <v>1</v>
      </c>
      <c r="B9" t="str" s="7">
        <v/>
      </c>
      <c r="C9" s="7">
        <v>1</v>
      </c>
      <c r="D9" t="str" s="7">
        <v/>
      </c>
      <c r="E9" s="7">
        <v>1</v>
      </c>
      <c r="F9" t="str" s="7">
        <v/>
      </c>
      <c r="G9" s="7">
        <v>0</v>
      </c>
      <c r="H9" t="str" s="7">
        <v/>
      </c>
      <c r="I9" s="7">
        <v>1</v>
      </c>
      <c r="J9" t="str" s="7">
        <v/>
      </c>
      <c r="K9" s="7">
        <v>0</v>
      </c>
      <c r="L9" t="str" s="7">
        <v/>
      </c>
      <c r="M9" s="7">
        <v>0</v>
      </c>
      <c r="N9" t="str" s="7">
        <v/>
      </c>
      <c r="O9" t="str">
        <v/>
      </c>
      <c r="P9" t="str">
        <v/>
      </c>
    </row>
    <row r="10" ht="24" customHeight="1">
      <c r="A10" t="str" s="18">
        <v>P = Probabilidad · C = Consecuencia · VEP = Valor estimado de riesgo. Las celdas vacías indican evaluación pendiente.</v>
      </c>
      <c r="B10" t="str" s="18">
        <v/>
      </c>
      <c r="C10" t="str" s="18">
        <v/>
      </c>
      <c r="D10" t="str" s="18">
        <v/>
      </c>
      <c r="E10" t="str" s="18">
        <v/>
      </c>
      <c r="F10" t="str" s="18">
        <v/>
      </c>
      <c r="G10" t="str" s="18">
        <v/>
      </c>
      <c r="H10" t="str" s="18">
        <v/>
      </c>
      <c r="I10" t="str" s="18">
        <v/>
      </c>
      <c r="J10" t="str" s="18">
        <v/>
      </c>
      <c r="K10" t="str" s="18">
        <v/>
      </c>
      <c r="L10" t="str" s="18">
        <v/>
      </c>
      <c r="M10" t="str" s="18">
        <v/>
      </c>
      <c r="N10" t="str" s="18">
        <v/>
      </c>
      <c r="O10" t="str" s="18">
        <v/>
      </c>
      <c r="P10" t="str" s="18">
        <v/>
      </c>
    </row>
    <row r="11" ht="24" customHeight="1">
      <c r="A11" t="str" s="8">
        <v>Identificación del trabajo</v>
      </c>
      <c r="B11" t="str" s="8">
        <v/>
      </c>
      <c r="C11" t="str" s="8">
        <v/>
      </c>
      <c r="D11" t="str" s="8">
        <v>Identificación de peligros</v>
      </c>
      <c r="E11" t="str" s="8">
        <v/>
      </c>
      <c r="F11" t="str" s="8">
        <v>Evaluación de riesgos</v>
      </c>
      <c r="G11" t="str" s="8">
        <v/>
      </c>
      <c r="H11" t="str" s="8">
        <v/>
      </c>
      <c r="I11" t="str" s="8">
        <v/>
      </c>
      <c r="J11" t="str" s="8">
        <v/>
      </c>
      <c r="K11" t="str" s="8">
        <v/>
      </c>
      <c r="L11" t="str" s="8">
        <v/>
      </c>
      <c r="M11" t="str" s="8">
        <v/>
      </c>
      <c r="N11" t="str" s="8">
        <v/>
      </c>
      <c r="O11" t="str" s="8">
        <v/>
      </c>
      <c r="P11" t="str" s="8">
        <v>Medidas preventivas</v>
      </c>
    </row>
    <row r="12" ht="30" customHeight="1">
      <c r="A12" t="str" s="9">
        <v/>
      </c>
      <c r="B12" t="str" s="9">
        <v/>
      </c>
      <c r="C12" t="str" s="9">
        <v/>
      </c>
      <c r="D12" t="str" s="9">
        <v/>
      </c>
      <c r="E12" t="str" s="9">
        <v/>
      </c>
      <c r="F12" t="str" s="9">
        <v>Seguridad y emergencias</v>
      </c>
      <c r="G12" t="str" s="9">
        <v/>
      </c>
      <c r="H12" t="str" s="9">
        <v/>
      </c>
      <c r="I12" t="str" s="9">
        <v/>
      </c>
      <c r="J12" t="str" s="9">
        <v>Riesgos higiénicos</v>
      </c>
      <c r="K12" t="str" s="9">
        <v/>
      </c>
      <c r="L12" t="str" s="9">
        <v>Riesgos psicosociales</v>
      </c>
      <c r="M12" t="str" s="9">
        <v/>
      </c>
      <c r="N12" t="str" s="9">
        <v>Riesgos musculoesqueléticos</v>
      </c>
      <c r="O12" t="str" s="9">
        <v/>
      </c>
      <c r="P12" t="str" s="9">
        <v/>
      </c>
    </row>
    <row r="13" ht="48" customHeight="1">
      <c r="A13" t="str" s="10">
        <v>Proceso</v>
      </c>
      <c r="B13" t="str" s="10">
        <v>Puesto de trabajo</v>
      </c>
      <c r="C13" t="str" s="10">
        <v>Tarea</v>
      </c>
      <c r="D13" t="str" s="10">
        <v>Identificación de peligros/factores de riesgo</v>
      </c>
      <c r="E13" t="str" s="10">
        <v>Riesgo y código ISP</v>
      </c>
      <c r="F13" t="str" s="10">
        <v>P</v>
      </c>
      <c r="G13" t="str" s="10">
        <v>C</v>
      </c>
      <c r="H13" t="str" s="10">
        <v>VEP</v>
      </c>
      <c r="I13" t="str" s="10">
        <v>Nivel</v>
      </c>
      <c r="J13" t="str" s="10">
        <v>Magnitud</v>
      </c>
      <c r="K13" t="str" s="10">
        <v>Nivel</v>
      </c>
      <c r="L13" t="str" s="10">
        <v>Magnitud</v>
      </c>
      <c r="M13" t="str" s="10">
        <v>Nivel</v>
      </c>
      <c r="N13" t="str" s="10">
        <v>Magnitud</v>
      </c>
      <c r="O13" t="str" s="10">
        <v>Nivel</v>
      </c>
      <c r="P13" t="str" s="10">
        <v>Medidas preventivas</v>
      </c>
    </row>
    <row r="14" xml:space="preserve">
      <c r="A14" t="str" s="11">
        <v>Operacion mina</v>
      </c>
      <c r="B14" t="str" s="11">
        <v>Operador</v>
      </c>
      <c r="C14" t="str" s="11">
        <v>Traslado interno</v>
      </c>
      <c r="D14" t="str" s="11">
        <v>Gente: Conductor fatigado | Equipos: Camioneta en maniobra | Detalle: Cruce sin demarcacion</v>
      </c>
      <c r="E14" t="str" s="11">
        <v>Atropello (I1)</v>
      </c>
      <c r="F14" s="11">
        <v>2</v>
      </c>
      <c r="G14" s="11">
        <v>2</v>
      </c>
      <c r="H14" s="11">
        <f>F14*G14</f>
        <v>4</v>
      </c>
      <c r="I14" t="str" s="11">
        <f>IF(H14&lt;=2,"Tolerable",IF(H14=4,"Moderado",IF(H14=8,"Importante","Intolerable")))</f>
        <v>Moderado</v>
      </c>
      <c r="J14" t="str" s="11">
        <v/>
      </c>
      <c r="K14" t="str" s="11">
        <v/>
      </c>
      <c r="L14" t="str" s="11">
        <v/>
      </c>
      <c r="M14" t="str" s="11">
        <v/>
      </c>
      <c r="N14" t="str" s="11">
        <v/>
      </c>
      <c r="O14" t="str" s="11">
        <v/>
      </c>
      <c r="P14" t="str" xml:space="preserve" s="11">
        <v xml:space="preserve">Administrativo: Control de velocidad
Responsable: Juan Soto
Plazo: 2026-07-20
Estado: pendiente</v>
      </c>
    </row>
    <row r="16">
      <c r="A16" t="str" s="19">
        <v>Firmas y aprobación</v>
      </c>
      <c r="B16" t="str" s="19">
        <v/>
      </c>
      <c r="C16" t="str" s="19">
        <v/>
      </c>
      <c r="D16" t="str" s="19">
        <v/>
      </c>
      <c r="E16" t="str" s="19">
        <v/>
      </c>
      <c r="F16" t="str" s="19">
        <v/>
      </c>
      <c r="G16" t="str" s="19">
        <v/>
      </c>
      <c r="H16" t="str" s="19">
        <v/>
      </c>
      <c r="I16" t="str" s="19">
        <v/>
      </c>
      <c r="J16" t="str" s="19">
        <v/>
      </c>
      <c r="K16" t="str" s="19">
        <v/>
      </c>
      <c r="L16" t="str" s="19">
        <v/>
      </c>
      <c r="M16" t="str" s="19">
        <v/>
      </c>
      <c r="N16" t="str" s="19">
        <v/>
      </c>
      <c r="O16" t="str" s="19">
        <v/>
      </c>
      <c r="P16" t="str" s="19">
        <v/>
      </c>
    </row>
    <row r="18">
      <c r="A18" t="str" s="20">
        <v>Elaborado por</v>
      </c>
      <c r="B18" t="str" s="5">
        <v>Ana Perez</v>
      </c>
      <c r="C18" t="str" s="5">
        <v/>
      </c>
      <c r="D18" t="str" s="5">
        <v/>
      </c>
      <c r="E18" t="str" s="5">
        <v/>
      </c>
      <c r="F18" t="str" s="20">
        <v>Fecha</v>
      </c>
      <c r="G18" t="str" s="5">
        <v>2026-07-20</v>
      </c>
      <c r="H18" t="str" s="5">
        <v/>
      </c>
      <c r="I18" t="str" s="20">
        <v>Revisado por</v>
      </c>
      <c r="J18" t="str" s="5">
        <v>No informado</v>
      </c>
      <c r="K18" t="str" s="5">
        <v/>
      </c>
      <c r="L18" t="str" s="5">
        <v/>
      </c>
      <c r="M18" t="str" s="20">
        <v>Fecha</v>
      </c>
      <c r="N18" t="str" s="5">
        <v>Pendiente</v>
      </c>
      <c r="O18" t="str" s="5">
        <v/>
      </c>
      <c r="P18" t="str" s="5">
        <v/>
      </c>
    </row>
    <row r="19">
      <c r="A19" t="str" s="20">
        <v>Cargo / rol</v>
      </c>
      <c r="B19" t="str" s="5">
        <v>Prevención de riesgos</v>
      </c>
      <c r="C19" t="str" s="5">
        <v/>
      </c>
      <c r="D19" t="str" s="5">
        <v/>
      </c>
      <c r="E19" t="str" s="5">
        <v/>
      </c>
      <c r="F19" t="str" s="20">
        <v/>
      </c>
      <c r="G19" t="str" s="5">
        <v/>
      </c>
      <c r="H19" t="str" s="5">
        <v/>
      </c>
      <c r="I19" t="str" s="20">
        <v>Cargo / rol</v>
      </c>
      <c r="J19" t="str" s="5">
        <v>Pendiente</v>
      </c>
      <c r="K19" t="str" s="5">
        <v/>
      </c>
      <c r="L19" t="str" s="5">
        <v/>
      </c>
      <c r="M19" t="str" s="20">
        <v/>
      </c>
      <c r="N19" t="str" s="5">
        <v/>
      </c>
      <c r="O19" t="str" s="5">
        <v/>
      </c>
      <c r="P19" t="str" s="5">
        <v/>
      </c>
    </row>
    <row r="20">
      <c r="A20" t="str" s="20">
        <v>Aprobado por</v>
      </c>
      <c r="B20" t="str" s="5">
        <v>No informado</v>
      </c>
      <c r="C20" t="str" s="5">
        <v/>
      </c>
      <c r="D20" t="str" s="5">
        <v/>
      </c>
      <c r="E20" t="str" s="5">
        <v/>
      </c>
      <c r="F20" t="str" s="20">
        <v>Fecha</v>
      </c>
      <c r="G20" t="str" s="5">
        <v>Pendiente</v>
      </c>
      <c r="H20" t="str" s="5">
        <v/>
      </c>
      <c r="I20" t="str" s="20">
        <v>Cargo / rol</v>
      </c>
      <c r="J20" t="str" s="5">
        <v>Pendiente</v>
      </c>
      <c r="K20" t="str" s="5">
        <v/>
      </c>
      <c r="L20" t="str" s="5">
        <v/>
      </c>
      <c r="M20" t="str" s="20">
        <v/>
      </c>
      <c r="N20" t="str" s="5">
        <v/>
      </c>
      <c r="O20" t="str" s="5">
        <v/>
      </c>
      <c r="P20" t="str" s="5">
        <v/>
      </c>
    </row>
  </sheetData>
  <autoFilter ref="A13:P14"/>
  <mergeCells count="50">
    <mergeCell ref="A1:C2"/>
    <mergeCell ref="D1:P2"/>
    <mergeCell ref="A3:P3"/>
    <mergeCell ref="B4:D4"/>
    <mergeCell ref="F4:H4"/>
    <mergeCell ref="J4:L4"/>
    <mergeCell ref="N4:P4"/>
    <mergeCell ref="B5:D5"/>
    <mergeCell ref="F5:H5"/>
    <mergeCell ref="J5:L5"/>
    <mergeCell ref="N5:P5"/>
    <mergeCell ref="B6:D6"/>
    <mergeCell ref="F6:H6"/>
    <mergeCell ref="J6:L6"/>
    <mergeCell ref="N6:P6"/>
    <mergeCell ref="A8:B8"/>
    <mergeCell ref="C8:D8"/>
    <mergeCell ref="E8:F8"/>
    <mergeCell ref="G8:H8"/>
    <mergeCell ref="I8:J8"/>
    <mergeCell ref="K8:L8"/>
    <mergeCell ref="M8:N8"/>
    <mergeCell ref="A9:B9"/>
    <mergeCell ref="C9:D9"/>
    <mergeCell ref="E9:F9"/>
    <mergeCell ref="G9:H9"/>
    <mergeCell ref="I9:J9"/>
    <mergeCell ref="K9:L9"/>
    <mergeCell ref="M9:N9"/>
    <mergeCell ref="A10:P10"/>
    <mergeCell ref="A11:C11"/>
    <mergeCell ref="D11:E11"/>
    <mergeCell ref="F11:O11"/>
    <mergeCell ref="F12:I12"/>
    <mergeCell ref="J12:K12"/>
    <mergeCell ref="L12:M12"/>
    <mergeCell ref="N12:O12"/>
    <mergeCell ref="A16:P16"/>
    <mergeCell ref="B18:E18"/>
    <mergeCell ref="G18:H18"/>
    <mergeCell ref="J18:L18"/>
    <mergeCell ref="N18:P18"/>
    <mergeCell ref="B19:E19"/>
    <mergeCell ref="G19:H19"/>
    <mergeCell ref="J19:L19"/>
    <mergeCell ref="N19:P19"/>
    <mergeCell ref="B20:E20"/>
    <mergeCell ref="G20:H20"/>
    <mergeCell ref="J20:L20"/>
    <mergeCell ref="N20:P20"/>
  </mergeCells>
  <conditionalFormatting sqref="I14:I14">
    <cfRule type="expression" dxfId="0" priority="1">
      <formula>EXACT(I14,"Evaluación pendiente")</formula>
    </cfRule>
  </conditionalFormatting>
  <conditionalFormatting sqref="I14:I14">
    <cfRule type="expression" dxfId="1" priority="2">
      <formula>EXACT(I14,"Tolerable")</formula>
    </cfRule>
  </conditionalFormatting>
  <conditionalFormatting sqref="I14:I14">
    <cfRule type="expression" dxfId="2" priority="3">
      <formula>EXACT(I14,"Moderado")</formula>
    </cfRule>
  </conditionalFormatting>
  <conditionalFormatting sqref="I14:I14">
    <cfRule type="expression" dxfId="3" priority="4">
      <formula>EXACT(I14,"Importante")</formula>
    </cfRule>
  </conditionalFormatting>
  <conditionalFormatting sqref="I14:I14">
    <cfRule type="expression" dxfId="4" priority="5">
      <formula>EXACT(I14,"Intolerable")</formula>
    </cfRule>
  </conditionalFormatting>
  <conditionalFormatting sqref="K14:K14">
    <cfRule type="expression" dxfId="0" priority="6">
      <formula>EXACT(K14,"Evaluación pendiente")</formula>
    </cfRule>
  </conditionalFormatting>
  <conditionalFormatting sqref="K14:K14">
    <cfRule type="expression" dxfId="1" priority="7">
      <formula>EXACT(K14,"Tolerable")</formula>
    </cfRule>
  </conditionalFormatting>
  <conditionalFormatting sqref="K14:K14">
    <cfRule type="expression" dxfId="2" priority="8">
      <formula>EXACT(K14,"Moderado")</formula>
    </cfRule>
  </conditionalFormatting>
  <conditionalFormatting sqref="K14:K14">
    <cfRule type="expression" dxfId="3" priority="9">
      <formula>EXACT(K14,"Importante")</formula>
    </cfRule>
  </conditionalFormatting>
  <conditionalFormatting sqref="K14:K14">
    <cfRule type="expression" dxfId="4" priority="10">
      <formula>EXACT(K14,"Intolerable")</formula>
    </cfRule>
  </conditionalFormatting>
  <conditionalFormatting sqref="M14:M14">
    <cfRule type="expression" dxfId="0" priority="11">
      <formula>EXACT(M14,"Evaluación pendiente")</formula>
    </cfRule>
  </conditionalFormatting>
  <conditionalFormatting sqref="M14:M14">
    <cfRule type="expression" dxfId="1" priority="12">
      <formula>EXACT(M14,"Tolerable")</formula>
    </cfRule>
  </conditionalFormatting>
  <conditionalFormatting sqref="M14:M14">
    <cfRule type="expression" dxfId="2" priority="13">
      <formula>EXACT(M14,"Moderado")</formula>
    </cfRule>
  </conditionalFormatting>
  <conditionalFormatting sqref="M14:M14">
    <cfRule type="expression" dxfId="3" priority="14">
      <formula>EXACT(M14,"Importante")</formula>
    </cfRule>
  </conditionalFormatting>
  <conditionalFormatting sqref="M14:M14">
    <cfRule type="expression" dxfId="4" priority="15">
      <formula>EXACT(M14,"Intolerable")</formula>
    </cfRule>
  </conditionalFormatting>
  <conditionalFormatting sqref="O14:O14">
    <cfRule type="expression" dxfId="0" priority="16">
      <formula>EXACT(O14,"Evaluación pendiente")</formula>
    </cfRule>
  </conditionalFormatting>
  <conditionalFormatting sqref="O14:O14">
    <cfRule type="expression" dxfId="1" priority="17">
      <formula>EXACT(O14,"Tolerable")</formula>
    </cfRule>
  </conditionalFormatting>
  <conditionalFormatting sqref="O14:O14">
    <cfRule type="expression" dxfId="2" priority="18">
      <formula>EXACT(O14,"Moderado")</formula>
    </cfRule>
  </conditionalFormatting>
  <conditionalFormatting sqref="O14:O14">
    <cfRule type="expression" dxfId="3" priority="19">
      <formula>EXACT(O14,"Importante")</formula>
    </cfRule>
  </conditionalFormatting>
  <conditionalFormatting sqref="O14:O14">
    <cfRule type="expression" dxfId="4" priority="20">
      <formula>EXACT(O14,"Intolerable")</formula>
    </cfRule>
  </conditionalFormatting>
  <printOptions horizontalCentered="1"/>
  <pageMargins left="0.25" right="0.25" top="0.35" bottom="0.45" header="0.15" footer="0.2"/>
  <pageSetup paperSize="8" orientation="landscape" fitToWidth="1" fitToHeight="0"/>
  <headerFooter>
    <oddFooter>MIPER-001 V3 | borrador | 2026-07-21 |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2" topLeftCell="A3" activePane="bottomLeft" state="frozen"/>
    </sheetView>
  </sheetViews>
  <cols>
    <col min="1" max="1" width="20.83203125" customWidth="1"/>
    <col min="2" max="2" width="14.83203125" customWidth="1"/>
    <col min="3" max="3" width="18.83203125" customWidth="1"/>
    <col min="4" max="4" width="30.83203125" customWidth="1"/>
    <col min="5" max="5" width="12.83203125" customWidth="1"/>
    <col min="6" max="6" width="26.83203125" customWidth="1"/>
    <col min="7" max="7" width="12.83203125" customWidth="1"/>
    <col min="8" max="8" width="28.83203125" customWidth="1"/>
    <col min="9" max="9" width="48.83203125" customWidth="1"/>
    <col min="10" max="10" width="38.83203125" customWidth="1"/>
    <col min="11" max="11" width="30.83203125" customWidth="1"/>
  </cols>
  <sheetData>
    <row r="1">
      <c r="A1" t="str" s="21">
        <v>Levantamiento por tarea</v>
      </c>
    </row>
    <row r="2">
      <c r="A2" t="str" s="22">
        <v>Proceso</v>
      </c>
      <c r="B2" t="str" s="22">
        <v>Tipo proceso</v>
      </c>
      <c r="C2" t="str" s="22">
        <v>Cargo</v>
      </c>
      <c r="D2" t="str" s="22">
        <v>Tarea</v>
      </c>
      <c r="E2" t="str" s="22">
        <v>Rutinaria</v>
      </c>
      <c r="F2" t="str" s="22">
        <v>Lugar</v>
      </c>
      <c r="G2" t="str" s="22">
        <v>Población</v>
      </c>
      <c r="H2" t="str" s="22">
        <v>Distribución</v>
      </c>
      <c r="I2" t="str" s="22">
        <v>GEMA</v>
      </c>
      <c r="J2" t="str" s="22">
        <v>Riesgo asociado</v>
      </c>
      <c r="K2" t="str" s="22">
        <v>Observaciones</v>
      </c>
    </row>
    <row r="3">
      <c r="A3" t="str" s="23">
        <v>Operacion mina</v>
      </c>
      <c r="B3" t="str" s="23">
        <v>operacional</v>
      </c>
      <c r="C3" t="str" s="23">
        <v>Operador</v>
      </c>
      <c r="D3" t="str" s="23">
        <v>Traslado interno</v>
      </c>
      <c r="E3" t="str" s="23">
        <v>Sí</v>
      </c>
      <c r="F3" t="str" s="23">
        <v>Patio A</v>
      </c>
      <c r="G3" s="23">
        <v>3</v>
      </c>
      <c r="H3" t="str" s="23">
        <v>hombre: 2 | mujer: 1</v>
      </c>
      <c r="I3" t="str" s="23">
        <v>Gente: Conductor fatigado | Equipos: Camioneta en maniobra | Detalle: Cruce sin demarcacion</v>
      </c>
      <c r="J3" t="str" s="23">
        <v>I1 Atropello</v>
      </c>
      <c r="K3" t="str" s="23">
        <v>Ruta principal</v>
      </c>
    </row>
  </sheetData>
  <autoFilter ref="A2:K3"/>
  <mergeCells count="1">
    <mergeCell ref="A1:K1"/>
  </mergeCells>
  <printOptions horizontalCentered="1"/>
  <pageMargins left="0.25" right="0.25" top="0.35" bottom="0.45" header="0.15" footer="0.2"/>
  <pageSetup paperSize="9" orientation="landscape" fitToWidth="1" fitToHeight="0"/>
  <headerFooter>
    <oddFooter>NextPrev |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2" topLeftCell="A3" activePane="bottomLeft" state="frozen"/>
    </sheetView>
  </sheetViews>
  <cols>
    <col min="1" max="1" width="18.83203125" customWidth="1"/>
    <col min="2" max="2" width="18.83203125" customWidth="1"/>
    <col min="3" max="3" width="24.83203125" customWidth="1"/>
    <col min="4" max="4" width="10.83203125" customWidth="1"/>
    <col min="5" max="5" width="26.83203125" customWidth="1"/>
    <col min="6" max="6" width="16.83203125" customWidth="1"/>
    <col min="7" max="7" width="40.83203125" customWidth="1"/>
    <col min="8" max="8" width="24.83203125" customWidth="1"/>
    <col min="9" max="9" width="14.83203125" customWidth="1"/>
    <col min="10" max="10" width="14.83203125" customWidth="1"/>
  </cols>
  <sheetData>
    <row r="1">
      <c r="A1" t="str" s="21">
        <v>Controles planificados</v>
      </c>
    </row>
    <row r="2">
      <c r="A2" t="str" s="22">
        <v>Proceso</v>
      </c>
      <c r="B2" t="str" s="22">
        <v>Cargo</v>
      </c>
      <c r="C2" t="str" s="22">
        <v>Tarea</v>
      </c>
      <c r="D2" t="str" s="22">
        <v>Código ISP</v>
      </c>
      <c r="E2" t="str" s="22">
        <v>Riesgo</v>
      </c>
      <c r="F2" t="str" s="22">
        <v>Jerarquía</v>
      </c>
      <c r="G2" t="str" s="22">
        <v>Medida</v>
      </c>
      <c r="H2" t="str" s="22">
        <v>Responsable</v>
      </c>
      <c r="I2" t="str" s="22">
        <v>Fecha</v>
      </c>
      <c r="J2" t="str" s="22">
        <v>Estado</v>
      </c>
    </row>
    <row r="3">
      <c r="A3" t="str" s="23">
        <v>Operacion mina</v>
      </c>
      <c r="B3" t="str" s="23">
        <v>Operador</v>
      </c>
      <c r="C3" t="str" s="23">
        <v>Traslado interno</v>
      </c>
      <c r="D3" t="str" s="23">
        <v>I1</v>
      </c>
      <c r="E3" t="str" s="23">
        <v>Atropello</v>
      </c>
      <c r="F3" t="str" s="23">
        <v>Administrativo</v>
      </c>
      <c r="G3" t="str" s="23">
        <v>Control de velocidad</v>
      </c>
      <c r="H3" t="str" s="23">
        <v>Juan Soto</v>
      </c>
      <c r="I3" t="str" s="23">
        <v>2026-07-20</v>
      </c>
      <c r="J3" t="str" s="25">
        <v>pendiente</v>
      </c>
    </row>
  </sheetData>
  <autoFilter ref="A2:J3"/>
  <mergeCells count="1">
    <mergeCell ref="A1:J1"/>
  </mergeCells>
  <printOptions horizontalCentered="1"/>
  <pageMargins left="0.25" right="0.25" top="0.35" bottom="0.45" header="0.15" footer="0.2"/>
  <pageSetup paperSize="9" orientation="landscape" fitToWidth="1" fitToHeight="0"/>
  <headerFooter>
    <oddFooter>NextPrev |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</sheetView>
  </sheetViews>
  <cols>
    <col min="1" max="1" width="12.83203125" customWidth="1"/>
    <col min="2" max="2" width="18.83203125" customWidth="1"/>
    <col min="3" max="3" width="34.83203125" customWidth="1"/>
    <col min="4" max="4" width="52.83203125" customWidth="1"/>
    <col min="5" max="5" width="18.83203125" customWidth="1"/>
    <col min="6" max="6" width="20.83203125" customWidth="1"/>
    <col min="7" max="7" width="28.83203125" customWidth="1"/>
  </cols>
  <sheetData>
    <row r="1">
      <c r="A1" t="str" s="21">
        <v>Catálogo ISP utilizado en esta matriz</v>
      </c>
    </row>
    <row r="2">
      <c r="A2" t="str" s="22">
        <v>Código ISP</v>
      </c>
      <c r="B2" t="str" s="22">
        <v>Familia</v>
      </c>
      <c r="C2" t="str" s="22">
        <v>Riesgo</v>
      </c>
      <c r="D2" t="str" s="22">
        <v>Definición</v>
      </c>
      <c r="E2" t="str" s="22">
        <v>Categoría</v>
      </c>
      <c r="F2" t="str" s="22">
        <v>Metodología</v>
      </c>
      <c r="G2" t="str" s="22">
        <v>Protocolo</v>
      </c>
    </row>
    <row r="3">
      <c r="A3" t="str" s="23">
        <v>I1</v>
      </c>
      <c r="B3" t="str" s="23">
        <v>Contacto con / en Vehículos en movimiento</v>
      </c>
      <c r="C3" t="str" s="23">
        <v>Atropellos o golpes con vehículos</v>
      </c>
      <c r="D3" t="str" s="23">
        <v>Impacto entre un peatón y un vehículo en movimiento.</v>
      </c>
      <c r="E3" t="str" s="23">
        <v>seguridad</v>
      </c>
      <c r="F3" t="str" s="23">
        <v>vep_isp</v>
      </c>
      <c r="G3" t="str" s="23">
        <v/>
      </c>
    </row>
  </sheetData>
  <autoFilter ref="A2:G3"/>
  <mergeCells count="1">
    <mergeCell ref="A1:G1"/>
  </mergeCells>
  <printOptions horizontalCentered="1"/>
  <pageMargins left="0.25" right="0.25" top="0.35" bottom="0.45" header="0.15" footer="0.2"/>
  <pageSetup paperSize="9" orientation="landscape" fitToWidth="1" fitToHeight="0"/>
  <headerFooter>
    <oddFooter>NextPrev |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6" topLeftCell="A7" activePane="bottomLeft" state="frozen"/>
    </sheetView>
  </sheetViews>
  <cols>
    <col min="1" max="1" width="16.83203125" customWidth="1"/>
    <col min="2" max="2" width="16.83203125" customWidth="1"/>
    <col min="3" max="3" width="18.83203125" customWidth="1"/>
    <col min="4" max="4" width="34.83203125" customWidth="1"/>
    <col min="5" max="5" width="18.83203125" customWidth="1"/>
    <col min="6" max="6" width="36.83203125" customWidth="1"/>
    <col min="7" max="7" width="42.83203125" customWidth="1"/>
  </cols>
  <sheetData>
    <row r="1">
      <c r="A1" t="str" s="21">
        <v>Trazabilidad documental y técnica</v>
      </c>
    </row>
    <row r="2">
      <c r="A2" t="str" s="4">
        <v>Código</v>
      </c>
      <c r="B2" t="str" s="5">
        <v>MIPER-001</v>
      </c>
      <c r="C2" t="str" s="4">
        <v>Versión</v>
      </c>
      <c r="D2" s="5">
        <v>3</v>
      </c>
      <c r="E2" t="str" s="4">
        <v>Estado</v>
      </c>
      <c r="F2" t="str" s="5">
        <v>borrador</v>
      </c>
    </row>
    <row r="3">
      <c r="A3" t="str" s="4">
        <v>Versión anterior</v>
      </c>
      <c r="B3" t="str" s="5">
        <v>MIPER-001-V2</v>
      </c>
      <c r="C3" t="str" s="4">
        <v>Fecha descarga</v>
      </c>
      <c r="D3" t="str" s="5">
        <v>2026-07-21</v>
      </c>
      <c r="E3" t="str" s="4">
        <v>Nota legacy</v>
      </c>
      <c r="F3" t="str" s="5">
        <v>Sin registros legacy_5x5.</v>
      </c>
    </row>
    <row r="4">
      <c r="A4" t="str" s="4">
        <v>Elaborado por</v>
      </c>
      <c r="B4" t="str" s="5">
        <v>Ana Perez</v>
      </c>
      <c r="C4" t="str" s="4">
        <v>Revisado por</v>
      </c>
      <c r="D4" t="str" s="5">
        <v>Pendiente</v>
      </c>
      <c r="E4" t="str" s="4">
        <v>Aprobado por</v>
      </c>
      <c r="F4" t="str" s="5">
        <v>Pendiente</v>
      </c>
    </row>
    <row r="6">
      <c r="A6" t="str" s="22">
        <v>ID ítem</v>
      </c>
      <c r="B6" t="str" s="22">
        <v>ID tarea</v>
      </c>
      <c r="C6" t="str" s="22">
        <v>Metodología</v>
      </c>
      <c r="D6" t="str" s="22">
        <v>Motivo sugerencia</v>
      </c>
      <c r="E6" t="str" s="22">
        <v>Estado técnico</v>
      </c>
      <c r="F6" t="str" s="22">
        <v>Observación interna</v>
      </c>
      <c r="G6" t="str" s="22">
        <v>Auditoría</v>
      </c>
    </row>
    <row r="7">
      <c r="A7" t="str" s="23">
        <v>i-1</v>
      </c>
      <c r="B7" t="str" s="23">
        <v>t-1</v>
      </c>
      <c r="C7" t="str" s="23">
        <v>vep_isp</v>
      </c>
      <c r="D7" t="str" s="23">
        <v>Mapeo por exposicion</v>
      </c>
      <c r="E7" t="str" s="23">
        <v>vep</v>
      </c>
      <c r="F7" t="str" s="23">
        <v/>
      </c>
      <c r="G7" t="str" s="23">
        <v>Responsable: Juan Soto | Protocolo: No informado</v>
      </c>
    </row>
  </sheetData>
  <autoFilter ref="A6:G7"/>
  <mergeCells count="1">
    <mergeCell ref="A1:G1"/>
  </mergeCells>
  <printOptions horizontalCentered="1"/>
  <pageMargins left="0.25" right="0.25" top="0.35" bottom="0.45" header="0.15" footer="0.2"/>
  <pageSetup paperSize="9" orientation="landscape" fitToWidth="1" fitToHeight="0"/>
  <headerFooter>
    <oddFooter>NextPrev | Trazabilidad MIPER |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MIPER</vt:lpstr>
      <vt:lpstr>LEVANTAMIENTO</vt:lpstr>
      <vt:lpstr>CONTROLES</vt:lpstr>
      <vt:lpstr>CATALOGO ISP</vt:lpstr>
      <vt:lpstr>TRAZABILIDAD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