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IPER" sheetId="1" r:id="rId1"/>
    <sheet name="LEVANTAMIENTO" sheetId="2" r:id="rId2"/>
    <sheet name="CONTROLES" sheetId="3" r:id="rId3"/>
    <sheet name="CATALOGO ISP" sheetId="4" r:id="rId4"/>
    <sheet name="TRAZABILIDAD" sheetId="5" r:id="rId5"/>
  </sheets>
  <definedNames>
    <definedName name="_xlnm.Print_Titles" localSheetId="0">MIPER!$11:$13</definedName>
    <definedName name="_xlnm.Print_Area" localSheetId="0">MIPER!$A$1:$P$27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4">
    <font>
      <sz val="10"/>
      <name val="Aptos"/>
      <family val="2"/>
    </font>
    <font>
      <b/>
      <sz val="10"/>
      <name val="Aptos"/>
      <family val="2"/>
      <color rgb="FF172033"/>
    </font>
    <font>
      <b/>
      <sz val="12"/>
      <name val="Aptos Display"/>
      <family val="2"/>
      <color rgb="FFFFFFFF"/>
    </font>
    <font>
      <b/>
      <sz val="16"/>
      <name val="Aptos Display"/>
      <family val="2"/>
      <color rgb="FFFFFFFF"/>
    </font>
  </fonts>
  <fills count="13">
    <fill>
      <patternFill patternType="none"/>
    </fill>
    <fill>
      <patternFill patternType="gray125"/>
    </fill>
    <fill>
      <patternFill patternType="solid">
        <fgColor rgb="FF0B1F3A"/>
        <bgColor indexed="64"/>
      </patternFill>
    </fill>
    <fill>
      <patternFill patternType="solid">
        <fgColor rgb="FF143F73"/>
        <bgColor indexed="64"/>
      </patternFill>
    </fill>
    <fill>
      <patternFill patternType="solid">
        <fgColor rgb="FFE8EDF3"/>
        <bgColor indexed="64"/>
      </patternFill>
    </fill>
    <fill>
      <patternFill patternType="solid">
        <fgColor rgb="FFEAF3FF"/>
        <bgColor indexed="64"/>
      </patternFill>
    </fill>
    <fill>
      <patternFill patternType="solid">
        <fgColor rgb="FF2F7D5B"/>
        <bgColor indexed="64"/>
      </patternFill>
    </fill>
    <fill>
      <patternFill patternType="solid">
        <fgColor rgb="FFDDF3E5"/>
        <bgColor indexed="64"/>
      </patternFill>
    </fill>
    <fill>
      <patternFill patternType="solid">
        <fgColor rgb="FFFFF1C7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9D8DC"/>
        <bgColor indexed="64"/>
      </patternFill>
    </fill>
    <fill>
      <patternFill patternType="solid">
        <fgColor rgb="FFFFDFC2"/>
        <bgColor indexed="64"/>
      </patternFill>
    </fill>
    <fill>
      <patternFill patternType="solid">
        <fgColor rgb="FFDCE9F8"/>
        <bgColor indexed="64"/>
      </patternFill>
    </fill>
  </fills>
  <borders count="3">
    <border>
      <left/>
      <right/>
      <top/>
      <bottom/>
      <diagonal/>
    </border>
    <border>
      <left style="thin">
        <color rgb="FFD6DEE8"/>
      </left>
      <right style="thin">
        <color rgb="FFD6DEE8"/>
      </right>
      <top style="thin">
        <color rgb="FFD6DEE8"/>
      </top>
      <bottom style="thin">
        <color rgb="FFD6DEE8"/>
      </bottom>
      <diagonal/>
    </border>
    <border>
      <left style="thin">
        <color rgb="FFD6DEE8"/>
      </left>
      <right style="thin">
        <color rgb="FFD6DEE8"/>
      </right>
      <top style="medium">
        <color rgb="FF2F7D5B"/>
      </top>
      <bottom style="thin">
        <color rgb="FFD6DEE8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0" xfId="0" applyAlignment="1">
      <alignment horizontal="center" vertical="center" wrapText="1"/>
    </xf>
    <xf numFmtId="0" fontId="2" fillId="3" borderId="0" xfId="0" applyAlignment="1">
      <alignment horizontal="center" vertical="center" wrapText="1"/>
    </xf>
    <xf numFmtId="0" fontId="2" fillId="10" borderId="1" xfId="0" applyAlignment="1">
      <alignment horizontal="center" vertical="center"/>
    </xf>
    <xf numFmtId="0" fontId="1" fillId="4" borderId="1" xfId="0" applyAlignment="1">
      <alignment vertical="center" wrapText="1"/>
    </xf>
    <xf numFmtId="0" fontId="0" fillId="4" borderId="1" xfId="0" applyAlignment="1">
      <alignment vertical="center" wrapText="1"/>
    </xf>
    <xf numFmtId="0" fontId="2" fillId="3" borderId="1" xfId="0" applyAlignment="1">
      <alignment horizontal="center" vertical="center" wrapText="1"/>
    </xf>
    <xf numFmtId="0" fontId="1" fillId="5" borderId="1" xfId="0" applyAlignment="1">
      <alignment horizontal="center" vertical="center"/>
    </xf>
    <xf numFmtId="0" fontId="2" fillId="6" borderId="1" xfId="0" applyAlignment="1">
      <alignment horizontal="center" vertical="center" wrapText="1"/>
    </xf>
    <xf numFmtId="0" fontId="1" fillId="8" borderId="1" xfId="0" applyAlignment="1">
      <alignment horizontal="center" vertical="center" wrapText="1"/>
    </xf>
    <xf numFmtId="0" fontId="2" fillId="2" borderId="1" xfId="0" applyAlignment="1">
      <alignment horizontal="center" vertical="center" wrapText="1"/>
    </xf>
    <xf numFmtId="0" fontId="0" fillId="0" borderId="1" xfId="0" applyAlignment="1">
      <alignment vertical="top" wrapText="1"/>
    </xf>
    <xf numFmtId="0" fontId="0" fillId="9" borderId="1" xfId="0" applyAlignment="1">
      <alignment vertical="top" wrapText="1"/>
    </xf>
    <xf numFmtId="0" fontId="0" fillId="4" borderId="1" xfId="0" applyAlignment="1">
      <alignment horizontal="center" vertical="top" wrapText="1"/>
    </xf>
    <xf numFmtId="0" fontId="1" fillId="7" borderId="1" xfId="0" applyAlignment="1">
      <alignment horizontal="center" vertical="top" wrapText="1"/>
    </xf>
    <xf numFmtId="0" fontId="1" fillId="8" borderId="1" xfId="0" applyAlignment="1">
      <alignment horizontal="center" vertical="top" wrapText="1"/>
    </xf>
    <xf numFmtId="0" fontId="1" fillId="11" borderId="1" xfId="0" applyAlignment="1">
      <alignment horizontal="center" vertical="top" wrapText="1"/>
    </xf>
    <xf numFmtId="0" fontId="2" fillId="10" borderId="1" xfId="0" applyAlignment="1">
      <alignment horizontal="center" vertical="top" wrapText="1"/>
    </xf>
    <xf numFmtId="0" fontId="0" fillId="5" borderId="1" xfId="0" applyAlignment="1">
      <alignment vertical="center" wrapText="1"/>
    </xf>
    <xf numFmtId="0" fontId="2" fillId="6" borderId="1" xfId="0" applyAlignment="1">
      <alignment vertical="center"/>
    </xf>
    <xf numFmtId="0" fontId="1" fillId="4" borderId="1" xfId="0" applyAlignment="1">
      <alignment vertical="center"/>
    </xf>
    <xf numFmtId="0" fontId="2" fillId="2" borderId="0" xfId="0" applyAlignment="1">
      <alignment horizontal="left" vertical="center"/>
    </xf>
    <xf numFmtId="0" fontId="2" fillId="6" borderId="1" xfId="0" applyAlignment="1">
      <alignment horizontal="center" vertical="center" wrapText="1"/>
    </xf>
    <xf numFmtId="0" fontId="0" fillId="0" borderId="1" xfId="0" applyAlignment="1">
      <alignment vertical="top" wrapText="1"/>
    </xf>
    <xf numFmtId="0" fontId="0" fillId="9" borderId="1" xfId="0" applyAlignment="1">
      <alignment vertical="top" wrapText="1"/>
    </xf>
    <xf numFmtId="14" fontId="0" fillId="8" borderId="1" xfId="0" applyAlignment="1">
      <alignment horizontal="center" vertical="center"/>
    </xf>
    <xf numFmtId="14" fontId="0" fillId="7" borderId="1" xfId="0" applyAlignment="1">
      <alignment horizontal="center" vertical="center"/>
    </xf>
    <xf numFmtId="14" fontId="0" fillId="12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0" borderId="2" xfId="0" applyAlignment="1">
      <alignment vertical="top" wrapText="1"/>
    </xf>
    <xf numFmtId="0" fontId="0" fillId="9" borderId="2" xfId="0" applyAlignment="1">
      <alignment vertical="top" wrapText="1"/>
    </xf>
  </cellXfs>
  <cellStyles count="1">
    <cellStyle name="Normal" xfId="0" builtinId="0"/>
  </cellStyles>
  <dxfs count="5">
    <dxf>
      <fill>
        <patternFill patternType="solid">
          <fgColor rgb="FFE8EDF3"/>
          <bgColor indexed="64"/>
        </patternFill>
      </fill>
    </dxf>
    <dxf>
      <fill>
        <patternFill patternType="solid">
          <fgColor rgb="FFDDF3E5"/>
          <bgColor indexed="64"/>
        </patternFill>
      </fill>
      <font>
        <b/>
        <color rgb="FF185C37"/>
      </font>
    </dxf>
    <dxf>
      <fill>
        <patternFill patternType="solid">
          <fgColor rgb="FFFFF1C7"/>
          <bgColor indexed="64"/>
        </patternFill>
      </fill>
      <font>
        <b/>
        <color rgb="FF765400"/>
      </font>
    </dxf>
    <dxf>
      <fill>
        <patternFill patternType="solid">
          <fgColor rgb="FFFFDFC2"/>
          <bgColor indexed="64"/>
        </patternFill>
      </fill>
      <font>
        <b/>
        <color rgb="FF8A3C00"/>
      </font>
    </dxf>
    <dxf>
      <fill>
        <patternFill patternType="solid">
          <fgColor rgb="FFF9D8DC"/>
          <bgColor indexed="64"/>
        </patternFill>
      </fill>
      <font>
        <b/>
        <color rgb="FF9B1C2C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7"/>
  <sheetViews>
    <sheetView workbookViewId="0">
      <pane ySplit="13" topLeftCell="A14" activePane="bottomLeft" state="frozen"/>
    </sheetView>
  </sheetViews>
  <cols>
    <col min="1" max="1" width="18.83203125" customWidth="1"/>
    <col min="2" max="2" width="20.83203125" customWidth="1"/>
    <col min="3" max="3" width="34.83203125" customWidth="1"/>
    <col min="4" max="4" width="44.83203125" customWidth="1"/>
    <col min="5" max="5" width="28.83203125" customWidth="1"/>
    <col min="6" max="6" width="7.83203125" customWidth="1"/>
    <col min="7" max="7" width="7.83203125" customWidth="1"/>
    <col min="8" max="8" width="10.83203125" customWidth="1"/>
    <col min="9" max="9" width="20.83203125" customWidth="1"/>
    <col min="10" max="10" width="14.83203125" customWidth="1"/>
    <col min="11" max="11" width="14.83203125" customWidth="1"/>
    <col min="12" max="12" width="14.83203125" customWidth="1"/>
    <col min="13" max="13" width="14.83203125" customWidth="1"/>
    <col min="14" max="14" width="16.83203125" customWidth="1"/>
    <col min="15" max="15" width="16.83203125" customWidth="1"/>
    <col min="16" max="16" width="44.83203125" customWidth="1"/>
  </cols>
  <sheetData>
    <row r="1" ht="26" customHeight="1">
      <c r="A1" t="str" s="2">
        <v>NEXTPREV</v>
      </c>
      <c r="B1" t="str" s="2">
        <v/>
      </c>
      <c r="C1" t="str" s="2">
        <v/>
      </c>
      <c r="D1" t="str" s="1">
        <v>Matriz de identificación de peligros y evaluación de riesgos</v>
      </c>
      <c r="E1" t="str" s="1">
        <v/>
      </c>
      <c r="F1" t="str" s="1">
        <v/>
      </c>
      <c r="G1" t="str" s="1">
        <v/>
      </c>
      <c r="H1" t="str" s="1">
        <v/>
      </c>
      <c r="I1" t="str" s="1">
        <v/>
      </c>
      <c r="J1" t="str" s="1">
        <v/>
      </c>
      <c r="K1" t="str" s="1">
        <v/>
      </c>
      <c r="L1" t="str" s="1">
        <v/>
      </c>
      <c r="M1" t="str" s="1">
        <v/>
      </c>
      <c r="N1" t="str" s="1">
        <v/>
      </c>
      <c r="O1" t="str" s="1">
        <v/>
      </c>
      <c r="P1" t="str" s="1">
        <v/>
      </c>
    </row>
    <row r="2" ht="22" customHeight="1">
      <c r="A2" t="str" s="2">
        <v>Prevención con trazabilidad</v>
      </c>
      <c r="B2" t="str" s="2">
        <v/>
      </c>
      <c r="C2" t="str" s="2">
        <v/>
      </c>
      <c r="D2" t="str" s="1">
        <v/>
      </c>
      <c r="E2" t="str" s="1">
        <v/>
      </c>
      <c r="F2" t="str" s="1">
        <v/>
      </c>
      <c r="G2" t="str" s="1">
        <v/>
      </c>
      <c r="H2" t="str" s="1">
        <v/>
      </c>
      <c r="I2" t="str" s="1">
        <v/>
      </c>
      <c r="J2" t="str" s="1">
        <v/>
      </c>
      <c r="K2" t="str" s="1">
        <v/>
      </c>
      <c r="L2" t="str" s="1">
        <v/>
      </c>
      <c r="M2" t="str" s="1">
        <v/>
      </c>
      <c r="N2" t="str" s="1">
        <v/>
      </c>
      <c r="O2" t="str" s="1">
        <v/>
      </c>
      <c r="P2" t="str" s="1">
        <v/>
      </c>
    </row>
    <row r="3" ht="22" customHeight="1">
      <c r="A3" t="str" s="3">
        <v>BORRADOR — Documento no aprobado</v>
      </c>
      <c r="B3" t="str" s="3">
        <v/>
      </c>
      <c r="C3" t="str" s="3">
        <v/>
      </c>
      <c r="D3" t="str" s="3">
        <v/>
      </c>
      <c r="E3" t="str" s="3">
        <v/>
      </c>
      <c r="F3" t="str" s="3">
        <v/>
      </c>
      <c r="G3" t="str" s="3">
        <v/>
      </c>
      <c r="H3" t="str" s="3">
        <v/>
      </c>
      <c r="I3" t="str" s="3">
        <v/>
      </c>
      <c r="J3" t="str" s="3">
        <v/>
      </c>
      <c r="K3" t="str" s="3">
        <v/>
      </c>
      <c r="L3" t="str" s="3">
        <v/>
      </c>
      <c r="M3" t="str" s="3">
        <v/>
      </c>
      <c r="N3" t="str" s="3">
        <v/>
      </c>
      <c r="O3" t="str" s="3">
        <v/>
      </c>
      <c r="P3" t="str" s="3">
        <v/>
      </c>
    </row>
    <row r="4" ht="22" customHeight="1">
      <c r="A4" t="str" s="4">
        <v>Código</v>
      </c>
      <c r="B4" t="str" s="5">
        <v>MIPER-PRUEBA-001</v>
      </c>
      <c r="C4" t="str" s="5">
        <v/>
      </c>
      <c r="D4" t="str" s="5">
        <v/>
      </c>
      <c r="E4" t="str" s="4">
        <v>Versión</v>
      </c>
      <c r="F4" s="5">
        <v>1</v>
      </c>
      <c r="G4" t="str" s="5">
        <v/>
      </c>
      <c r="H4" t="str" s="5">
        <v/>
      </c>
      <c r="I4" t="str" s="4">
        <v>Estado</v>
      </c>
      <c r="J4" t="str" s="5">
        <v>borrador</v>
      </c>
      <c r="K4" t="str" s="5">
        <v/>
      </c>
      <c r="L4" t="str" s="5">
        <v/>
      </c>
      <c r="M4" t="str" s="4">
        <v>Fecha elaboración</v>
      </c>
      <c r="N4" t="str" s="5">
        <v>2026-07-20</v>
      </c>
      <c r="O4" t="str" s="5">
        <v/>
      </c>
      <c r="P4" t="str" s="5">
        <v/>
      </c>
    </row>
    <row r="5" ht="22" customHeight="1">
      <c r="A5" t="str" s="4">
        <v>Entidad empleadora</v>
      </c>
      <c r="B5" t="str" s="5">
        <v>Empresa demostrativa NextPrev</v>
      </c>
      <c r="C5" t="str" s="5">
        <v/>
      </c>
      <c r="D5" t="str" s="5">
        <v/>
      </c>
      <c r="E5" t="str" s="4">
        <v>RUT</v>
      </c>
      <c r="F5" t="str" s="5">
        <v>76.000.000-1</v>
      </c>
      <c r="G5" t="str" s="5">
        <v/>
      </c>
      <c r="H5" t="str" s="5">
        <v/>
      </c>
      <c r="I5" t="str" s="4">
        <v>Centro de trabajo</v>
      </c>
      <c r="J5" t="str" s="5">
        <v>Casa matriz / Principal</v>
      </c>
      <c r="K5" t="str" s="5">
        <v/>
      </c>
      <c r="L5" t="str" s="5">
        <v/>
      </c>
      <c r="M5" t="str" s="4">
        <v>Área</v>
      </c>
      <c r="N5" t="str" s="5">
        <v>Operaciones</v>
      </c>
      <c r="O5" t="str" s="5">
        <v/>
      </c>
      <c r="P5" t="str" s="5">
        <v/>
      </c>
    </row>
    <row r="6" ht="22" customHeight="1">
      <c r="A6" t="str" s="4">
        <v>Proceso</v>
      </c>
      <c r="B6" t="str" s="5">
        <v>Recepción, almacenamiento y despacho</v>
      </c>
      <c r="C6" t="str" s="5">
        <v/>
      </c>
      <c r="D6" t="str" s="5">
        <v/>
      </c>
      <c r="E6" t="str" s="4">
        <v>Tipo</v>
      </c>
      <c r="F6" t="str" s="5">
        <v>operacional</v>
      </c>
      <c r="G6" t="str" s="5">
        <v/>
      </c>
      <c r="H6" t="str" s="5">
        <v/>
      </c>
      <c r="I6" t="str" s="4">
        <v>Responsable proceso</v>
      </c>
      <c r="J6" t="str" s="5">
        <v>Jefatura de operaciones</v>
      </c>
      <c r="K6" t="str" s="5">
        <v/>
      </c>
      <c r="L6" t="str" s="5">
        <v/>
      </c>
      <c r="M6" t="str" s="4">
        <v>Próxima revisión</v>
      </c>
      <c r="N6" t="str" s="5">
        <v>2027-07-20</v>
      </c>
      <c r="O6" t="str" s="5">
        <v/>
      </c>
      <c r="P6" t="str" s="5">
        <v/>
      </c>
    </row>
    <row r="7" ht="8" customHeight="1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 t="str">
        <v/>
      </c>
      <c r="P7" t="str">
        <v/>
      </c>
    </row>
    <row r="8" ht="24" customHeight="1">
      <c r="A8" t="str" s="6">
        <v>Cargos</v>
      </c>
      <c r="B8" t="str" s="6">
        <v/>
      </c>
      <c r="C8" t="str" s="6">
        <v>Tareas</v>
      </c>
      <c r="D8" t="str" s="6">
        <v/>
      </c>
      <c r="E8" t="str" s="6">
        <v>Riesgos confirmados</v>
      </c>
      <c r="F8" t="str" s="6">
        <v/>
      </c>
      <c r="G8" t="str" s="6">
        <v>Evaluaciones pendientes</v>
      </c>
      <c r="H8" t="str" s="6">
        <v/>
      </c>
      <c r="I8" t="str" s="6">
        <v>Controles pendientes</v>
      </c>
      <c r="J8" t="str" s="6">
        <v/>
      </c>
      <c r="K8" t="str" s="6">
        <v>Riesgos importantes</v>
      </c>
      <c r="L8" t="str" s="6">
        <v/>
      </c>
      <c r="M8" t="str" s="6">
        <v>Riesgos intolerables</v>
      </c>
      <c r="N8" t="str" s="6">
        <v/>
      </c>
      <c r="O8" t="str">
        <v/>
      </c>
      <c r="P8" t="str">
        <v/>
      </c>
    </row>
    <row r="9" ht="28" customHeight="1">
      <c r="A9" s="7">
        <v>2</v>
      </c>
      <c r="B9" t="str" s="7">
        <v/>
      </c>
      <c r="C9" s="7">
        <v>4</v>
      </c>
      <c r="D9" t="str" s="7">
        <v/>
      </c>
      <c r="E9" s="7">
        <v>8</v>
      </c>
      <c r="F9" t="str" s="7">
        <v/>
      </c>
      <c r="G9" s="7">
        <v>1</v>
      </c>
      <c r="H9" t="str" s="7">
        <v/>
      </c>
      <c r="I9" s="7">
        <v>7</v>
      </c>
      <c r="J9" t="str" s="7">
        <v/>
      </c>
      <c r="K9" s="7">
        <v>1</v>
      </c>
      <c r="L9" t="str" s="7">
        <v/>
      </c>
      <c r="M9" s="7">
        <v>1</v>
      </c>
      <c r="N9" t="str" s="7">
        <v/>
      </c>
      <c r="O9" t="str">
        <v/>
      </c>
      <c r="P9" t="str">
        <v/>
      </c>
    </row>
    <row r="10" ht="24" customHeight="1">
      <c r="A10" t="str" s="18">
        <v>P = Probabilidad · C = Consecuencia · VEP = Valor estimado de riesgo. Las celdas vacías indican evaluación pendiente.</v>
      </c>
      <c r="B10" t="str" s="18">
        <v/>
      </c>
      <c r="C10" t="str" s="18">
        <v/>
      </c>
      <c r="D10" t="str" s="18">
        <v/>
      </c>
      <c r="E10" t="str" s="18">
        <v/>
      </c>
      <c r="F10" t="str" s="18">
        <v/>
      </c>
      <c r="G10" t="str" s="18">
        <v/>
      </c>
      <c r="H10" t="str" s="18">
        <v/>
      </c>
      <c r="I10" t="str" s="18">
        <v/>
      </c>
      <c r="J10" t="str" s="18">
        <v/>
      </c>
      <c r="K10" t="str" s="18">
        <v/>
      </c>
      <c r="L10" t="str" s="18">
        <v/>
      </c>
      <c r="M10" t="str" s="18">
        <v/>
      </c>
      <c r="N10" t="str" s="18">
        <v/>
      </c>
      <c r="O10" t="str" s="18">
        <v/>
      </c>
      <c r="P10" t="str" s="18">
        <v/>
      </c>
    </row>
    <row r="11" ht="24" customHeight="1">
      <c r="A11" t="str" s="8">
        <v>Identificación del trabajo</v>
      </c>
      <c r="B11" t="str" s="8">
        <v/>
      </c>
      <c r="C11" t="str" s="8">
        <v/>
      </c>
      <c r="D11" t="str" s="8">
        <v>Identificación de peligros</v>
      </c>
      <c r="E11" t="str" s="8">
        <v/>
      </c>
      <c r="F11" t="str" s="8">
        <v>Evaluación de riesgos</v>
      </c>
      <c r="G11" t="str" s="8">
        <v/>
      </c>
      <c r="H11" t="str" s="8">
        <v/>
      </c>
      <c r="I11" t="str" s="8">
        <v/>
      </c>
      <c r="J11" t="str" s="8">
        <v/>
      </c>
      <c r="K11" t="str" s="8">
        <v/>
      </c>
      <c r="L11" t="str" s="8">
        <v/>
      </c>
      <c r="M11" t="str" s="8">
        <v/>
      </c>
      <c r="N11" t="str" s="8">
        <v/>
      </c>
      <c r="O11" t="str" s="8">
        <v/>
      </c>
      <c r="P11" t="str" s="8">
        <v>Medidas preventivas</v>
      </c>
    </row>
    <row r="12" ht="30" customHeight="1">
      <c r="A12" t="str" s="9">
        <v/>
      </c>
      <c r="B12" t="str" s="9">
        <v/>
      </c>
      <c r="C12" t="str" s="9">
        <v/>
      </c>
      <c r="D12" t="str" s="9">
        <v/>
      </c>
      <c r="E12" t="str" s="9">
        <v/>
      </c>
      <c r="F12" t="str" s="9">
        <v>Seguridad y emergencias</v>
      </c>
      <c r="G12" t="str" s="9">
        <v/>
      </c>
      <c r="H12" t="str" s="9">
        <v/>
      </c>
      <c r="I12" t="str" s="9">
        <v/>
      </c>
      <c r="J12" t="str" s="9">
        <v>Riesgos higiénicos</v>
      </c>
      <c r="K12" t="str" s="9">
        <v/>
      </c>
      <c r="L12" t="str" s="9">
        <v>Riesgos psicosociales</v>
      </c>
      <c r="M12" t="str" s="9">
        <v/>
      </c>
      <c r="N12" t="str" s="9">
        <v>Riesgos musculoesqueléticos</v>
      </c>
      <c r="O12" t="str" s="9">
        <v/>
      </c>
      <c r="P12" t="str" s="9">
        <v/>
      </c>
    </row>
    <row r="13" ht="48" customHeight="1">
      <c r="A13" t="str" s="10">
        <v>Proceso</v>
      </c>
      <c r="B13" t="str" s="10">
        <v>Puesto de trabajo</v>
      </c>
      <c r="C13" t="str" s="10">
        <v>Tarea</v>
      </c>
      <c r="D13" t="str" s="10">
        <v>Identificación de peligros/factores de riesgo</v>
      </c>
      <c r="E13" t="str" s="10">
        <v>Riesgo y código ISP</v>
      </c>
      <c r="F13" t="str" s="10">
        <v>P</v>
      </c>
      <c r="G13" t="str" s="10">
        <v>C</v>
      </c>
      <c r="H13" t="str" s="10">
        <v>VEP</v>
      </c>
      <c r="I13" t="str" s="10">
        <v>Nivel</v>
      </c>
      <c r="J13" t="str" s="10">
        <v>Magnitud</v>
      </c>
      <c r="K13" t="str" s="10">
        <v>Nivel</v>
      </c>
      <c r="L13" t="str" s="10">
        <v>Magnitud</v>
      </c>
      <c r="M13" t="str" s="10">
        <v>Nivel</v>
      </c>
      <c r="N13" t="str" s="10">
        <v>Magnitud</v>
      </c>
      <c r="O13" t="str" s="10">
        <v>Nivel</v>
      </c>
      <c r="P13" t="str" s="10">
        <v>Medidas preventivas</v>
      </c>
    </row>
    <row r="14" xml:space="preserve">
      <c r="A14" t="str" s="11">
        <v>Recepción, almacenamiento y despacho</v>
      </c>
      <c r="B14" t="str" s="11">
        <v>Operador de bodega</v>
      </c>
      <c r="C14" t="str" s="11">
        <v>Recepcionar y almacenar materiales</v>
      </c>
      <c r="D14" t="str" s="11">
        <v>Gente: Personas expuestas durante la tarea | Equipos: Equipos móviles y herramientas | Materiales: Materiales almacenados | Ambiente: Superficie y condiciones del lugar | Detalle: Interacción observable durante la ejecución</v>
      </c>
      <c r="E14" t="str" s="11">
        <v>Caídas al mismo nivel (A1)</v>
      </c>
      <c r="F14" t="str" s="11">
        <v/>
      </c>
      <c r="G14" t="str" s="11">
        <v/>
      </c>
      <c r="H14" t="str" s="11">
        <v/>
      </c>
      <c r="I14" t="str" s="13">
        <v/>
      </c>
      <c r="J14" t="str" s="11">
        <v/>
      </c>
      <c r="K14" t="str" s="11">
        <v/>
      </c>
      <c r="L14" t="str" s="11">
        <v/>
      </c>
      <c r="M14" t="str" s="11">
        <v/>
      </c>
      <c r="N14" t="str" s="11">
        <v/>
      </c>
      <c r="O14" t="str" s="11">
        <v/>
      </c>
      <c r="P14" t="str" xml:space="preserve" s="11">
        <v xml:space="preserve">Administrativo: Demarcar rutas y verificar orden y limpieza
Responsable: Jefatura de operaciones
Plazo: 2026-08-15
Estado: pendiente</v>
      </c>
    </row>
    <row r="15" xml:space="preserve">
      <c r="A15" t="str" s="12">
        <v>Recepción, almacenamiento y despacho</v>
      </c>
      <c r="B15" t="str" s="12">
        <v>Operador de bodega</v>
      </c>
      <c r="C15" t="str" s="12">
        <v>Recepcionar y almacenar materiales</v>
      </c>
      <c r="D15" t="str" s="12">
        <v>Gente: Personas expuestas durante la tarea | Equipos: Equipos móviles y herramientas | Materiales: Materiales almacenados | Ambiente: Superficie y condiciones del lugar | Detalle: Interacción observable durante la ejecución</v>
      </c>
      <c r="E15" t="str" s="12">
        <v>Caídas al mismo nivel (A1)</v>
      </c>
      <c r="F15" s="12">
        <v>1</v>
      </c>
      <c r="G15" s="12">
        <v>2</v>
      </c>
      <c r="H15" s="12">
        <f>F15*G15</f>
        <v>2</v>
      </c>
      <c r="I15" t="str" s="12">
        <f>IF(H15&lt;=2,"Tolerable",IF(H15=4,"Moderado",IF(H15=8,"Importante","Intolerable")))</f>
        <v>Tolerable</v>
      </c>
      <c r="J15" t="str" s="12">
        <v/>
      </c>
      <c r="K15" t="str" s="12">
        <v/>
      </c>
      <c r="L15" t="str" s="12">
        <v/>
      </c>
      <c r="M15" t="str" s="12">
        <v/>
      </c>
      <c r="N15" t="str" s="12">
        <v/>
      </c>
      <c r="O15" t="str" s="12">
        <v/>
      </c>
      <c r="P15" t="str" xml:space="preserve" s="12">
        <v xml:space="preserve">Administrativo: Inspección diaria de superficies
Responsable: Jefatura de operaciones
Plazo: 2026-08-15
Estado: implementado</v>
      </c>
    </row>
    <row r="16" xml:space="preserve">
      <c r="A16" t="str" s="29">
        <v>Recepción, almacenamiento y despacho</v>
      </c>
      <c r="B16" t="str" s="29">
        <v>Operador de bodega</v>
      </c>
      <c r="C16" t="str" s="29">
        <v>Preparar pedidos para despacho</v>
      </c>
      <c r="D16" t="str" s="29">
        <v>Gente: Personas expuestas durante la tarea | Equipos: Equipos móviles y herramientas | Materiales: Materiales almacenados | Ambiente: Superficie y condiciones del lugar | Detalle: Interacción observable durante la ejecución</v>
      </c>
      <c r="E16" t="str" s="29">
        <v>Cortes por herramientas (B3)</v>
      </c>
      <c r="F16" s="29">
        <v>2</v>
      </c>
      <c r="G16" s="29">
        <v>2</v>
      </c>
      <c r="H16" s="29">
        <f>F16*G16</f>
        <v>4</v>
      </c>
      <c r="I16" t="str" s="29">
        <f>IF(H16&lt;=2,"Tolerable",IF(H16=4,"Moderado",IF(H16=8,"Importante","Intolerable")))</f>
        <v>Moderado</v>
      </c>
      <c r="J16" t="str" s="29">
        <v/>
      </c>
      <c r="K16" t="str" s="29">
        <v/>
      </c>
      <c r="L16" t="str" s="29">
        <v/>
      </c>
      <c r="M16" t="str" s="29">
        <v/>
      </c>
      <c r="N16" t="str" s="29">
        <v/>
      </c>
      <c r="O16" t="str" s="29">
        <v/>
      </c>
      <c r="P16" t="str" xml:space="preserve" s="29">
        <v xml:space="preserve">Administrativo: Usar cuchillos de seguridad y capacitar al personal
Responsable: Jefatura de operaciones
Plazo: 2026-08-15
Estado: pendiente</v>
      </c>
    </row>
    <row r="17" xml:space="preserve">
      <c r="A17" t="str" s="12">
        <v>Recepción, almacenamiento y despacho</v>
      </c>
      <c r="B17" t="str" s="12">
        <v>Operador de bodega</v>
      </c>
      <c r="C17" t="str" s="12">
        <v>Preparar pedidos para despacho</v>
      </c>
      <c r="D17" t="str" s="12">
        <v>Gente: Personas expuestas durante la tarea | Equipos: Equipos móviles y herramientas | Materiales: Materiales almacenados | Ambiente: Superficie y condiciones del lugar | Detalle: Interacción observable durante la ejecución</v>
      </c>
      <c r="E17" t="str" s="12">
        <v>Caída de objetos (B2)</v>
      </c>
      <c r="F17" s="12">
        <v>2</v>
      </c>
      <c r="G17" s="12">
        <v>4</v>
      </c>
      <c r="H17" s="12">
        <f>F17*G17</f>
        <v>8</v>
      </c>
      <c r="I17" t="str" s="12">
        <f>IF(H17&lt;=2,"Tolerable",IF(H17=4,"Moderado",IF(H17=8,"Importante","Intolerable")))</f>
        <v>Importante</v>
      </c>
      <c r="J17" t="str" s="12">
        <v/>
      </c>
      <c r="K17" t="str" s="12">
        <v/>
      </c>
      <c r="L17" t="str" s="12">
        <v/>
      </c>
      <c r="M17" t="str" s="12">
        <v/>
      </c>
      <c r="N17" t="str" s="12">
        <v/>
      </c>
      <c r="O17" t="str" s="12">
        <v/>
      </c>
      <c r="P17" t="str" xml:space="preserve" s="12">
        <v xml:space="preserve">Administrativo: Reorganizar almacenamiento pesado
Responsable: Jefatura de operaciones
Plazo: 2026-08-15
Estado: en_revision
Administrativo: Instalar topes de retención
Responsable: Jefatura de operaciones
Plazo: 2026-08-15
Estado: pendiente</v>
      </c>
    </row>
    <row r="18" xml:space="preserve">
      <c r="A18" t="str" s="29">
        <v>Recepción, almacenamiento y despacho</v>
      </c>
      <c r="B18" t="str" s="29">
        <v>Supervisor de operaciones</v>
      </c>
      <c r="C18" t="str" s="29">
        <v>Gestionar contingencias operacionales</v>
      </c>
      <c r="D18" t="str" s="29">
        <v>Gente: Personas expuestas durante la tarea | Equipos: Equipos móviles y herramientas | Materiales: Materiales almacenados | Ambiente: Superficie y condiciones del lugar | Detalle: Interacción observable durante la ejecución</v>
      </c>
      <c r="E18" t="str" s="29">
        <v>Contacto eléctrico directo (F1)</v>
      </c>
      <c r="F18" s="29">
        <v>4</v>
      </c>
      <c r="G18" s="29">
        <v>4</v>
      </c>
      <c r="H18" s="29">
        <f>F18*G18</f>
        <v>16</v>
      </c>
      <c r="I18" t="str" s="29">
        <f>IF(H18&lt;=2,"Tolerable",IF(H18=4,"Moderado",IF(H18=8,"Importante","Intolerable")))</f>
        <v>Intolerable</v>
      </c>
      <c r="J18" t="str" s="29">
        <v/>
      </c>
      <c r="K18" t="str" s="29">
        <v/>
      </c>
      <c r="L18" t="str" s="29">
        <v/>
      </c>
      <c r="M18" t="str" s="29">
        <v/>
      </c>
      <c r="N18" t="str" s="29">
        <v/>
      </c>
      <c r="O18" t="str" s="29">
        <v/>
      </c>
      <c r="P18" t="str" xml:space="preserve" s="29">
        <v xml:space="preserve">Administrativo: Retirar equipo defectuoso y bloquear energías
Responsable: Jefatura de operaciones
Plazo: 2026-08-15
Estado: pendiente</v>
      </c>
    </row>
    <row r="19" xml:space="preserve">
      <c r="A19" t="str" s="30">
        <v>Recepción, almacenamiento y despacho</v>
      </c>
      <c r="B19" t="str" s="30">
        <v>Operador de bodega</v>
      </c>
      <c r="C19" t="str" s="30">
        <v>Preparar pedidos para despacho</v>
      </c>
      <c r="D19" t="str" s="30">
        <v>Gente: Personas expuestas durante la tarea | Equipos: Equipos móviles y herramientas | Materiales: Materiales almacenados | Ambiente: Superficie y condiciones del lugar | Detalle: Interacción observable durante la ejecución</v>
      </c>
      <c r="E19" t="str" s="30">
        <v>Exposición a ruido (P1)</v>
      </c>
      <c r="F19" t="str" s="30">
        <v/>
      </c>
      <c r="G19" t="str" s="30">
        <v/>
      </c>
      <c r="H19" t="str" s="30">
        <v/>
      </c>
      <c r="I19" t="str" s="30">
        <v/>
      </c>
      <c r="J19" t="str" s="30">
        <v>83 dB(A)</v>
      </c>
      <c r="K19" t="str" s="30">
        <v>Sobre criterio de acción</v>
      </c>
      <c r="L19" t="str" s="30">
        <v/>
      </c>
      <c r="M19" t="str" s="30">
        <v/>
      </c>
      <c r="N19" t="str" s="30">
        <v/>
      </c>
      <c r="O19" t="str" s="30">
        <v/>
      </c>
      <c r="P19" t="str" xml:space="preserve" s="30">
        <v xml:space="preserve">Administrativo: Implementar programa de conservación auditiva
Responsable: Jefatura de operaciones
Plazo: 2026-08-15
Estado: pendiente</v>
      </c>
    </row>
    <row r="20" xml:space="preserve">
      <c r="A20" t="str" s="29">
        <v>Recepción, almacenamiento y despacho</v>
      </c>
      <c r="B20" t="str" s="29">
        <v>Supervisor de operaciones</v>
      </c>
      <c r="C20" t="str" s="29">
        <v>Supervisar operación y coordinar turnos</v>
      </c>
      <c r="D20" t="str" s="29">
        <v>Gente: Personas expuestas durante la tarea | Equipos: Equipos móviles y herramientas | Materiales: Materiales almacenados | Ambiente: Superficie y condiciones del lugar | Detalle: Interacción observable durante la ejecución</v>
      </c>
      <c r="E20" t="str" s="29">
        <v>Carga de trabajo (D1)</v>
      </c>
      <c r="F20" t="str" s="29">
        <v/>
      </c>
      <c r="G20" t="str" s="29">
        <v/>
      </c>
      <c r="H20" t="str" s="29">
        <v/>
      </c>
      <c r="I20" t="str" s="29">
        <v/>
      </c>
      <c r="J20" t="str" s="29">
        <v/>
      </c>
      <c r="K20" t="str" s="29">
        <v/>
      </c>
      <c r="L20" t="str" s="29">
        <v>CEAL-SM/SUSESO</v>
      </c>
      <c r="M20" t="str" s="29">
        <v>Riesgo medio</v>
      </c>
      <c r="N20" t="str" s="29">
        <v/>
      </c>
      <c r="O20" t="str" s="29">
        <v/>
      </c>
      <c r="P20" t="str" xml:space="preserve" s="29">
        <v xml:space="preserve">Administrativo: Revisar distribución de carga y pausas
Responsable: Jefatura de operaciones
Plazo: 2026-08-15
Estado: pendiente</v>
      </c>
    </row>
    <row r="21" xml:space="preserve">
      <c r="A21" t="str" s="30">
        <v>Recepción, almacenamiento y despacho</v>
      </c>
      <c r="B21" t="str" s="30">
        <v>Operador de bodega</v>
      </c>
      <c r="C21" t="str" s="30">
        <v>Recepcionar y almacenar materiales</v>
      </c>
      <c r="D21" t="str" s="30">
        <v>Gente: Personas expuestas durante la tarea | Equipos: Equipos móviles y herramientas | Materiales: Materiales almacenados | Ambiente: Superficie y condiciones del lugar | Detalle: Interacción observable durante la ejecución</v>
      </c>
      <c r="E21" t="str" s="30">
        <v>Manipulación manual de cargas (R1)</v>
      </c>
      <c r="F21" t="str" s="30">
        <v/>
      </c>
      <c r="G21" t="str" s="30">
        <v/>
      </c>
      <c r="H21" t="str" s="30">
        <v/>
      </c>
      <c r="I21" t="str" s="30">
        <v/>
      </c>
      <c r="J21" t="str" s="30">
        <v/>
      </c>
      <c r="K21" t="str" s="30">
        <v/>
      </c>
      <c r="L21" t="str" s="30">
        <v/>
      </c>
      <c r="M21" t="str" s="30">
        <v/>
      </c>
      <c r="N21" t="str" s="30">
        <v>MAC nivel 3</v>
      </c>
      <c r="O21" t="str" s="30">
        <v>Alto</v>
      </c>
      <c r="P21" t="str" xml:space="preserve" s="30">
        <v xml:space="preserve">Administrativo: Incorporar ayuda mecánica para cargas
Responsable: Jefatura de operaciones
Plazo: 2026-08-15
Estado: pendiente</v>
      </c>
    </row>
    <row r="23">
      <c r="A23" t="str" s="19">
        <v>Firmas y aprobación</v>
      </c>
      <c r="B23" t="str" s="19">
        <v/>
      </c>
      <c r="C23" t="str" s="19">
        <v/>
      </c>
      <c r="D23" t="str" s="19">
        <v/>
      </c>
      <c r="E23" t="str" s="19">
        <v/>
      </c>
      <c r="F23" t="str" s="19">
        <v/>
      </c>
      <c r="G23" t="str" s="19">
        <v/>
      </c>
      <c r="H23" t="str" s="19">
        <v/>
      </c>
      <c r="I23" t="str" s="19">
        <v/>
      </c>
      <c r="J23" t="str" s="19">
        <v/>
      </c>
      <c r="K23" t="str" s="19">
        <v/>
      </c>
      <c r="L23" t="str" s="19">
        <v/>
      </c>
      <c r="M23" t="str" s="19">
        <v/>
      </c>
      <c r="N23" t="str" s="19">
        <v/>
      </c>
      <c r="O23" t="str" s="19">
        <v/>
      </c>
      <c r="P23" t="str" s="19">
        <v/>
      </c>
    </row>
    <row r="25">
      <c r="A25" t="str" s="20">
        <v>Elaborado por</v>
      </c>
      <c r="B25" t="str" s="5">
        <v>Diana Marín · Prevencionista de riesgos</v>
      </c>
      <c r="C25" t="str" s="5">
        <v/>
      </c>
      <c r="D25" t="str" s="5">
        <v/>
      </c>
      <c r="E25" t="str" s="5">
        <v/>
      </c>
      <c r="F25" t="str" s="20">
        <v>Fecha</v>
      </c>
      <c r="G25" t="str" s="5">
        <v>2026-07-20</v>
      </c>
      <c r="H25" t="str" s="5">
        <v/>
      </c>
      <c r="I25" t="str" s="20">
        <v>Revisado por</v>
      </c>
      <c r="J25" t="str" s="5">
        <v>No informado</v>
      </c>
      <c r="K25" t="str" s="5">
        <v/>
      </c>
      <c r="L25" t="str" s="5">
        <v/>
      </c>
      <c r="M25" t="str" s="20">
        <v>Fecha</v>
      </c>
      <c r="N25" t="str" s="5">
        <v>Pendiente</v>
      </c>
      <c r="O25" t="str" s="5">
        <v/>
      </c>
      <c r="P25" t="str" s="5">
        <v/>
      </c>
    </row>
    <row r="26">
      <c r="A26" t="str" s="20">
        <v>Cargo / rol</v>
      </c>
      <c r="B26" t="str" s="5">
        <v>Prevención de riesgos</v>
      </c>
      <c r="C26" t="str" s="5">
        <v/>
      </c>
      <c r="D26" t="str" s="5">
        <v/>
      </c>
      <c r="E26" t="str" s="5">
        <v/>
      </c>
      <c r="F26" t="str" s="20">
        <v/>
      </c>
      <c r="G26" t="str" s="5">
        <v/>
      </c>
      <c r="H26" t="str" s="5">
        <v/>
      </c>
      <c r="I26" t="str" s="20">
        <v>Cargo / rol</v>
      </c>
      <c r="J26" t="str" s="5">
        <v>Pendiente</v>
      </c>
      <c r="K26" t="str" s="5">
        <v/>
      </c>
      <c r="L26" t="str" s="5">
        <v/>
      </c>
      <c r="M26" t="str" s="20">
        <v/>
      </c>
      <c r="N26" t="str" s="5">
        <v/>
      </c>
      <c r="O26" t="str" s="5">
        <v/>
      </c>
      <c r="P26" t="str" s="5">
        <v/>
      </c>
    </row>
    <row r="27">
      <c r="A27" t="str" s="20">
        <v>Aprobado por</v>
      </c>
      <c r="B27" t="str" s="5">
        <v>No informado</v>
      </c>
      <c r="C27" t="str" s="5">
        <v/>
      </c>
      <c r="D27" t="str" s="5">
        <v/>
      </c>
      <c r="E27" t="str" s="5">
        <v/>
      </c>
      <c r="F27" t="str" s="20">
        <v>Fecha</v>
      </c>
      <c r="G27" t="str" s="5">
        <v>Pendiente</v>
      </c>
      <c r="H27" t="str" s="5">
        <v/>
      </c>
      <c r="I27" t="str" s="20">
        <v>Cargo / rol</v>
      </c>
      <c r="J27" t="str" s="5">
        <v>Pendiente</v>
      </c>
      <c r="K27" t="str" s="5">
        <v/>
      </c>
      <c r="L27" t="str" s="5">
        <v/>
      </c>
      <c r="M27" t="str" s="20">
        <v/>
      </c>
      <c r="N27" t="str" s="5">
        <v/>
      </c>
      <c r="O27" t="str" s="5">
        <v/>
      </c>
      <c r="P27" t="str" s="5">
        <v/>
      </c>
    </row>
  </sheetData>
  <autoFilter ref="A13:P21"/>
  <mergeCells count="50">
    <mergeCell ref="A1:C2"/>
    <mergeCell ref="D1:P2"/>
    <mergeCell ref="A3:P3"/>
    <mergeCell ref="B4:D4"/>
    <mergeCell ref="F4:H4"/>
    <mergeCell ref="J4:L4"/>
    <mergeCell ref="N4:P4"/>
    <mergeCell ref="B5:D5"/>
    <mergeCell ref="F5:H5"/>
    <mergeCell ref="J5:L5"/>
    <mergeCell ref="N5:P5"/>
    <mergeCell ref="B6:D6"/>
    <mergeCell ref="F6:H6"/>
    <mergeCell ref="J6:L6"/>
    <mergeCell ref="N6:P6"/>
    <mergeCell ref="A8:B8"/>
    <mergeCell ref="C8:D8"/>
    <mergeCell ref="E8:F8"/>
    <mergeCell ref="G8:H8"/>
    <mergeCell ref="I8:J8"/>
    <mergeCell ref="K8:L8"/>
    <mergeCell ref="M8:N8"/>
    <mergeCell ref="A9:B9"/>
    <mergeCell ref="C9:D9"/>
    <mergeCell ref="E9:F9"/>
    <mergeCell ref="G9:H9"/>
    <mergeCell ref="I9:J9"/>
    <mergeCell ref="K9:L9"/>
    <mergeCell ref="M9:N9"/>
    <mergeCell ref="A10:P10"/>
    <mergeCell ref="A11:C11"/>
    <mergeCell ref="D11:E11"/>
    <mergeCell ref="F11:O11"/>
    <mergeCell ref="F12:I12"/>
    <mergeCell ref="J12:K12"/>
    <mergeCell ref="L12:M12"/>
    <mergeCell ref="N12:O12"/>
    <mergeCell ref="A23:P23"/>
    <mergeCell ref="B25:E25"/>
    <mergeCell ref="G25:H25"/>
    <mergeCell ref="J25:L25"/>
    <mergeCell ref="N25:P25"/>
    <mergeCell ref="B26:E26"/>
    <mergeCell ref="G26:H26"/>
    <mergeCell ref="J26:L26"/>
    <mergeCell ref="N26:P26"/>
    <mergeCell ref="B27:E27"/>
    <mergeCell ref="G27:H27"/>
    <mergeCell ref="J27:L27"/>
    <mergeCell ref="N27:P27"/>
  </mergeCells>
  <ignoredErrors>
    <ignoredError numberStoredAsText="1" sqref="A1:P27"/>
  </ignoredErrors>
  <conditionalFormatting sqref="I14:I21">
    <cfRule type="expression" dxfId="0" priority="1">
      <formula>EXACT(I14,"Evaluación pendiente")</formula>
    </cfRule>
  </conditionalFormatting>
  <conditionalFormatting sqref="I14:I21">
    <cfRule type="expression" dxfId="1" priority="2">
      <formula>EXACT(I14,"Tolerable")</formula>
    </cfRule>
  </conditionalFormatting>
  <conditionalFormatting sqref="I14:I21">
    <cfRule type="expression" dxfId="2" priority="3">
      <formula>EXACT(I14,"Moderado")</formula>
    </cfRule>
  </conditionalFormatting>
  <conditionalFormatting sqref="I14:I21">
    <cfRule type="expression" dxfId="3" priority="4">
      <formula>EXACT(I14,"Importante")</formula>
    </cfRule>
  </conditionalFormatting>
  <conditionalFormatting sqref="I14:I21">
    <cfRule type="expression" dxfId="4" priority="5">
      <formula>EXACT(I14,"Intolerable")</formula>
    </cfRule>
  </conditionalFormatting>
  <conditionalFormatting sqref="K14:K21">
    <cfRule type="expression" dxfId="0" priority="6">
      <formula>EXACT(K14,"Evaluación pendiente")</formula>
    </cfRule>
  </conditionalFormatting>
  <conditionalFormatting sqref="K14:K21">
    <cfRule type="expression" dxfId="1" priority="7">
      <formula>EXACT(K14,"Tolerable")</formula>
    </cfRule>
  </conditionalFormatting>
  <conditionalFormatting sqref="K14:K21">
    <cfRule type="expression" dxfId="2" priority="8">
      <formula>EXACT(K14,"Moderado")</formula>
    </cfRule>
  </conditionalFormatting>
  <conditionalFormatting sqref="K14:K21">
    <cfRule type="expression" dxfId="3" priority="9">
      <formula>EXACT(K14,"Importante")</formula>
    </cfRule>
  </conditionalFormatting>
  <conditionalFormatting sqref="K14:K21">
    <cfRule type="expression" dxfId="4" priority="10">
      <formula>EXACT(K14,"Intolerable")</formula>
    </cfRule>
  </conditionalFormatting>
  <conditionalFormatting sqref="M14:M21">
    <cfRule type="expression" dxfId="0" priority="11">
      <formula>EXACT(M14,"Evaluación pendiente")</formula>
    </cfRule>
  </conditionalFormatting>
  <conditionalFormatting sqref="M14:M21">
    <cfRule type="expression" dxfId="1" priority="12">
      <formula>EXACT(M14,"Tolerable")</formula>
    </cfRule>
  </conditionalFormatting>
  <conditionalFormatting sqref="M14:M21">
    <cfRule type="expression" dxfId="2" priority="13">
      <formula>EXACT(M14,"Moderado")</formula>
    </cfRule>
  </conditionalFormatting>
  <conditionalFormatting sqref="M14:M21">
    <cfRule type="expression" dxfId="3" priority="14">
      <formula>EXACT(M14,"Importante")</formula>
    </cfRule>
  </conditionalFormatting>
  <conditionalFormatting sqref="M14:M21">
    <cfRule type="expression" dxfId="4" priority="15">
      <formula>EXACT(M14,"Intolerable")</formula>
    </cfRule>
  </conditionalFormatting>
  <conditionalFormatting sqref="O14:O21">
    <cfRule type="expression" dxfId="0" priority="16">
      <formula>EXACT(O14,"Evaluación pendiente")</formula>
    </cfRule>
  </conditionalFormatting>
  <conditionalFormatting sqref="O14:O21">
    <cfRule type="expression" dxfId="1" priority="17">
      <formula>EXACT(O14,"Tolerable")</formula>
    </cfRule>
  </conditionalFormatting>
  <conditionalFormatting sqref="O14:O21">
    <cfRule type="expression" dxfId="2" priority="18">
      <formula>EXACT(O14,"Moderado")</formula>
    </cfRule>
  </conditionalFormatting>
  <conditionalFormatting sqref="O14:O21">
    <cfRule type="expression" dxfId="3" priority="19">
      <formula>EXACT(O14,"Importante")</formula>
    </cfRule>
  </conditionalFormatting>
  <conditionalFormatting sqref="O14:O21">
    <cfRule type="expression" dxfId="4" priority="20">
      <formula>EXACT(O14,"Intolerable")</formula>
    </cfRule>
  </conditionalFormatting>
  <printOptions horizontalCentered="1"/>
  <pageMargins left="0.25" right="0.25" top="0.35" bottom="0.45" header="0.15" footer="0.2"/>
  <pageSetup paperSize="8" orientation="landscape" fitToWidth="1" fitToHeight="0"/>
  <headerFooter>
    <oddFooter>MIPER-PRUEBA-001 V1 | borrador | 2026-07-20 | 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2" topLeftCell="A3" activePane="bottomLeft" state="frozen"/>
    </sheetView>
  </sheetViews>
  <cols>
    <col min="1" max="1" width="20.83203125" customWidth="1"/>
    <col min="2" max="2" width="14.83203125" customWidth="1"/>
    <col min="3" max="3" width="18.83203125" customWidth="1"/>
    <col min="4" max="4" width="30.83203125" customWidth="1"/>
    <col min="5" max="5" width="12.83203125" customWidth="1"/>
    <col min="6" max="6" width="26.83203125" customWidth="1"/>
    <col min="7" max="7" width="12.83203125" customWidth="1"/>
    <col min="8" max="8" width="28.83203125" customWidth="1"/>
    <col min="9" max="9" width="48.83203125" customWidth="1"/>
    <col min="10" max="10" width="38.83203125" customWidth="1"/>
    <col min="11" max="11" width="30.83203125" customWidth="1"/>
  </cols>
  <sheetData>
    <row r="1">
      <c r="A1" t="str" s="21">
        <v>Levantamiento por tarea</v>
      </c>
    </row>
    <row r="2">
      <c r="A2" t="str" s="22">
        <v>Proceso</v>
      </c>
      <c r="B2" t="str" s="22">
        <v>Tipo proceso</v>
      </c>
      <c r="C2" t="str" s="22">
        <v>Cargo</v>
      </c>
      <c r="D2" t="str" s="22">
        <v>Tarea</v>
      </c>
      <c r="E2" t="str" s="22">
        <v>Rutinaria</v>
      </c>
      <c r="F2" t="str" s="22">
        <v>Lugar</v>
      </c>
      <c r="G2" t="str" s="22">
        <v>Población</v>
      </c>
      <c r="H2" t="str" s="22">
        <v>Distribución</v>
      </c>
      <c r="I2" t="str" s="22">
        <v>GEMA</v>
      </c>
      <c r="J2" t="str" s="22">
        <v>Riesgo asociado</v>
      </c>
      <c r="K2" t="str" s="22">
        <v>Observaciones</v>
      </c>
    </row>
    <row r="3">
      <c r="A3" t="str" s="23">
        <v>Recepción, almacenamiento y despacho</v>
      </c>
      <c r="B3" t="str" s="23">
        <v>operacional</v>
      </c>
      <c r="C3" t="str" s="23">
        <v>Operador de bodega</v>
      </c>
      <c r="D3" t="str" s="23">
        <v>Recepcionar y almacenar materiales</v>
      </c>
      <c r="E3" t="str" s="23">
        <v>Sí</v>
      </c>
      <c r="F3" t="str" s="23">
        <v>Bodega central</v>
      </c>
      <c r="G3" s="23">
        <v>4</v>
      </c>
      <c r="H3" t="str" s="23">
        <v>hombre: 2 | mujer: 2</v>
      </c>
      <c r="I3" t="str" s="23">
        <v>Gente: Personas expuestas durante la tarea | Equipos: Equipos móviles y herramientas | Materiales: Materiales almacenados | Ambiente: Superficie y condiciones del lugar | Detalle: Interacción observable durante la ejecución</v>
      </c>
      <c r="J3" t="str" s="23">
        <v>A1 Caídas al mismo nivel | R1 Manipulación manual de cargas</v>
      </c>
      <c r="K3" t="str" s="23">
        <v>Turno diurno</v>
      </c>
    </row>
    <row r="4">
      <c r="A4" t="str" s="24">
        <v>Recepción, almacenamiento y despacho</v>
      </c>
      <c r="B4" t="str" s="24">
        <v>operacional</v>
      </c>
      <c r="C4" t="str" s="24">
        <v>Operador de bodega</v>
      </c>
      <c r="D4" t="str" s="24">
        <v>Preparar pedidos para despacho</v>
      </c>
      <c r="E4" t="str" s="24">
        <v>Sí</v>
      </c>
      <c r="F4" t="str" s="24">
        <v>Zona de picking</v>
      </c>
      <c r="G4" s="24">
        <v>3</v>
      </c>
      <c r="H4" t="str" s="24">
        <v>hombre: 2 | mujer: 1</v>
      </c>
      <c r="I4" t="str" s="24">
        <v>Gente: Personas expuestas durante la tarea | Equipos: Equipos móviles y herramientas | Materiales: Materiales almacenados | Ambiente: Superficie y condiciones del lugar | Detalle: Interacción observable durante la ejecución</v>
      </c>
      <c r="J4" t="str" s="24">
        <v>B3 Cortes por herramientas | B2 Caída de objetos | P1 Exposición a ruido</v>
      </c>
      <c r="K4" t="str" s="24">
        <v/>
      </c>
    </row>
    <row r="5">
      <c r="A5" t="str" s="23">
        <v>Recepción, almacenamiento y despacho</v>
      </c>
      <c r="B5" t="str" s="23">
        <v>operacional</v>
      </c>
      <c r="C5" t="str" s="23">
        <v>Supervisor de operaciones</v>
      </c>
      <c r="D5" t="str" s="23">
        <v>Supervisar operación y coordinar turnos</v>
      </c>
      <c r="E5" t="str" s="23">
        <v>Sí</v>
      </c>
      <c r="F5" t="str" s="23">
        <v>Bodega y oficina</v>
      </c>
      <c r="G5" s="23">
        <v>2</v>
      </c>
      <c r="H5" t="str" s="23">
        <v>hombre: 1 | mujer: 1</v>
      </c>
      <c r="I5" t="str" s="23">
        <v>Gente: Personas expuestas durante la tarea | Equipos: Equipos móviles y herramientas | Materiales: Materiales almacenados | Ambiente: Superficie y condiciones del lugar | Detalle: Interacción observable durante la ejecución</v>
      </c>
      <c r="J5" t="str" s="23">
        <v>D1 Carga de trabajo</v>
      </c>
      <c r="K5" t="str" s="23">
        <v>Incluye recorridos</v>
      </c>
    </row>
    <row r="6">
      <c r="A6" t="str" s="24">
        <v>Recepción, almacenamiento y despacho</v>
      </c>
      <c r="B6" t="str" s="24">
        <v>operacional</v>
      </c>
      <c r="C6" t="str" s="24">
        <v>Supervisor de operaciones</v>
      </c>
      <c r="D6" t="str" s="24">
        <v>Gestionar contingencias operacionales</v>
      </c>
      <c r="E6" t="str" s="24">
        <v>No</v>
      </c>
      <c r="F6" t="str" s="24">
        <v>Instalación completa</v>
      </c>
      <c r="G6" s="24">
        <v>2</v>
      </c>
      <c r="H6" t="str" s="24">
        <v>hombre: 1 | mujer: 1</v>
      </c>
      <c r="I6" t="str" s="24">
        <v>Gente: Personas expuestas durante la tarea | Equipos: Equipos móviles y herramientas | Materiales: Materiales almacenados | Ambiente: Superficie y condiciones del lugar | Detalle: Interacción observable durante la ejecución</v>
      </c>
      <c r="J6" t="str" s="24">
        <v>F1 Contacto eléctrico directo</v>
      </c>
      <c r="K6" t="str" s="24">
        <v>Según evento</v>
      </c>
    </row>
  </sheetData>
  <autoFilter ref="A2:K6"/>
  <mergeCells count="1">
    <mergeCell ref="A1:K1"/>
  </mergeCells>
  <ignoredErrors>
    <ignoredError numberStoredAsText="1" sqref="A1:K6"/>
  </ignoredErrors>
  <printOptions horizontalCentered="1"/>
  <pageMargins left="0.25" right="0.25" top="0.35" bottom="0.45" header="0.15" footer="0.2"/>
  <pageSetup paperSize="9" orientation="landscape" fitToWidth="1" fitToHeight="0"/>
  <headerFooter>
    <oddFooter>NextPrev |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ySplit="2" topLeftCell="A3" activePane="bottomLeft" state="frozen"/>
    </sheetView>
  </sheetViews>
  <cols>
    <col min="1" max="1" width="18.83203125" customWidth="1"/>
    <col min="2" max="2" width="18.83203125" customWidth="1"/>
    <col min="3" max="3" width="24.83203125" customWidth="1"/>
    <col min="4" max="4" width="10.83203125" customWidth="1"/>
    <col min="5" max="5" width="26.83203125" customWidth="1"/>
    <col min="6" max="6" width="16.83203125" customWidth="1"/>
    <col min="7" max="7" width="40.83203125" customWidth="1"/>
    <col min="8" max="8" width="24.83203125" customWidth="1"/>
    <col min="9" max="9" width="14.83203125" customWidth="1"/>
    <col min="10" max="10" width="14.83203125" customWidth="1"/>
  </cols>
  <sheetData>
    <row r="1">
      <c r="A1" t="str" s="21">
        <v>Controles planificados</v>
      </c>
    </row>
    <row r="2">
      <c r="A2" t="str" s="22">
        <v>Proceso</v>
      </c>
      <c r="B2" t="str" s="22">
        <v>Cargo</v>
      </c>
      <c r="C2" t="str" s="22">
        <v>Tarea</v>
      </c>
      <c r="D2" t="str" s="22">
        <v>Código ISP</v>
      </c>
      <c r="E2" t="str" s="22">
        <v>Riesgo</v>
      </c>
      <c r="F2" t="str" s="22">
        <v>Jerarquía</v>
      </c>
      <c r="G2" t="str" s="22">
        <v>Medida</v>
      </c>
      <c r="H2" t="str" s="22">
        <v>Responsable</v>
      </c>
      <c r="I2" t="str" s="22">
        <v>Fecha</v>
      </c>
      <c r="J2" t="str" s="22">
        <v>Estado</v>
      </c>
    </row>
    <row r="3">
      <c r="A3" t="str" s="23">
        <v>Recepción, almacenamiento y despacho</v>
      </c>
      <c r="B3" t="str" s="23">
        <v>Operador de bodega</v>
      </c>
      <c r="C3" t="str" s="23">
        <v>Recepcionar y almacenar materiales</v>
      </c>
      <c r="D3" t="str" s="23">
        <v>A1</v>
      </c>
      <c r="E3" t="str" s="23">
        <v>Caídas al mismo nivel</v>
      </c>
      <c r="F3" t="str" s="23">
        <v>Administrativo</v>
      </c>
      <c r="G3" t="str" s="23">
        <v>Demarcar rutas y verificar orden y limpieza</v>
      </c>
      <c r="H3" t="str" s="23">
        <v>Jefatura de operaciones</v>
      </c>
      <c r="I3" t="str" s="23">
        <v>2026-08-15</v>
      </c>
      <c r="J3" t="str" s="25">
        <v>pendiente</v>
      </c>
    </row>
    <row r="4">
      <c r="A4" t="str" s="24">
        <v>Recepción, almacenamiento y despacho</v>
      </c>
      <c r="B4" t="str" s="24">
        <v>Operador de bodega</v>
      </c>
      <c r="C4" t="str" s="24">
        <v>Recepcionar y almacenar materiales</v>
      </c>
      <c r="D4" t="str" s="24">
        <v>A1</v>
      </c>
      <c r="E4" t="str" s="24">
        <v>Caídas al mismo nivel</v>
      </c>
      <c r="F4" t="str" s="24">
        <v>Administrativo</v>
      </c>
      <c r="G4" t="str" s="24">
        <v>Inspección diaria de superficies</v>
      </c>
      <c r="H4" t="str" s="24">
        <v>Jefatura de operaciones</v>
      </c>
      <c r="I4" t="str" s="24">
        <v>2026-08-15</v>
      </c>
      <c r="J4" t="str" s="26">
        <v>implementado</v>
      </c>
    </row>
    <row r="5">
      <c r="A5" t="str" s="23">
        <v>Recepción, almacenamiento y despacho</v>
      </c>
      <c r="B5" t="str" s="23">
        <v>Operador de bodega</v>
      </c>
      <c r="C5" t="str" s="23">
        <v>Preparar pedidos para despacho</v>
      </c>
      <c r="D5" t="str" s="23">
        <v>B3</v>
      </c>
      <c r="E5" t="str" s="23">
        <v>Cortes por herramientas</v>
      </c>
      <c r="F5" t="str" s="23">
        <v>Administrativo</v>
      </c>
      <c r="G5" t="str" s="23">
        <v>Usar cuchillos de seguridad y capacitar al personal</v>
      </c>
      <c r="H5" t="str" s="23">
        <v>Jefatura de operaciones</v>
      </c>
      <c r="I5" t="str" s="23">
        <v>2026-08-15</v>
      </c>
      <c r="J5" t="str" s="25">
        <v>pendiente</v>
      </c>
    </row>
    <row r="6">
      <c r="A6" t="str" s="24">
        <v>Recepción, almacenamiento y despacho</v>
      </c>
      <c r="B6" t="str" s="24">
        <v>Operador de bodega</v>
      </c>
      <c r="C6" t="str" s="24">
        <v>Preparar pedidos para despacho</v>
      </c>
      <c r="D6" t="str" s="24">
        <v>B2</v>
      </c>
      <c r="E6" t="str" s="24">
        <v>Caída de objetos</v>
      </c>
      <c r="F6" t="str" s="24">
        <v>Administrativo</v>
      </c>
      <c r="G6" t="str" s="24">
        <v>Reorganizar almacenamiento pesado</v>
      </c>
      <c r="H6" t="str" s="24">
        <v>Jefatura de operaciones</v>
      </c>
      <c r="I6" t="str" s="24">
        <v>2026-08-15</v>
      </c>
      <c r="J6" t="str" s="27">
        <v>en_revision</v>
      </c>
    </row>
    <row r="7">
      <c r="A7" t="str" s="23">
        <v>Recepción, almacenamiento y despacho</v>
      </c>
      <c r="B7" t="str" s="23">
        <v>Operador de bodega</v>
      </c>
      <c r="C7" t="str" s="23">
        <v>Preparar pedidos para despacho</v>
      </c>
      <c r="D7" t="str" s="23">
        <v>B2</v>
      </c>
      <c r="E7" t="str" s="23">
        <v>Caída de objetos</v>
      </c>
      <c r="F7" t="str" s="23">
        <v>Administrativo</v>
      </c>
      <c r="G7" t="str" s="23">
        <v>Instalar topes de retención</v>
      </c>
      <c r="H7" t="str" s="23">
        <v>Jefatura de operaciones</v>
      </c>
      <c r="I7" t="str" s="23">
        <v>2026-08-15</v>
      </c>
      <c r="J7" t="str" s="25">
        <v>pendiente</v>
      </c>
    </row>
    <row r="8">
      <c r="A8" t="str" s="24">
        <v>Recepción, almacenamiento y despacho</v>
      </c>
      <c r="B8" t="str" s="24">
        <v>Supervisor de operaciones</v>
      </c>
      <c r="C8" t="str" s="24">
        <v>Gestionar contingencias operacionales</v>
      </c>
      <c r="D8" t="str" s="24">
        <v>F1</v>
      </c>
      <c r="E8" t="str" s="24">
        <v>Contacto eléctrico directo</v>
      </c>
      <c r="F8" t="str" s="24">
        <v>Administrativo</v>
      </c>
      <c r="G8" t="str" s="24">
        <v>Retirar equipo defectuoso y bloquear energías</v>
      </c>
      <c r="H8" t="str" s="24">
        <v>Jefatura de operaciones</v>
      </c>
      <c r="I8" t="str" s="24">
        <v>2026-08-15</v>
      </c>
      <c r="J8" t="str" s="25">
        <v>pendiente</v>
      </c>
    </row>
    <row r="9">
      <c r="A9" t="str" s="23">
        <v>Recepción, almacenamiento y despacho</v>
      </c>
      <c r="B9" t="str" s="23">
        <v>Operador de bodega</v>
      </c>
      <c r="C9" t="str" s="23">
        <v>Preparar pedidos para despacho</v>
      </c>
      <c r="D9" t="str" s="23">
        <v>P1</v>
      </c>
      <c r="E9" t="str" s="23">
        <v>Exposición a ruido</v>
      </c>
      <c r="F9" t="str" s="23">
        <v>Administrativo</v>
      </c>
      <c r="G9" t="str" s="23">
        <v>Implementar programa de conservación auditiva</v>
      </c>
      <c r="H9" t="str" s="23">
        <v>Jefatura de operaciones</v>
      </c>
      <c r="I9" t="str" s="23">
        <v>2026-08-15</v>
      </c>
      <c r="J9" t="str" s="25">
        <v>pendiente</v>
      </c>
    </row>
    <row r="10">
      <c r="A10" t="str" s="24">
        <v>Recepción, almacenamiento y despacho</v>
      </c>
      <c r="B10" t="str" s="24">
        <v>Supervisor de operaciones</v>
      </c>
      <c r="C10" t="str" s="24">
        <v>Supervisar operación y coordinar turnos</v>
      </c>
      <c r="D10" t="str" s="24">
        <v>D1</v>
      </c>
      <c r="E10" t="str" s="24">
        <v>Carga de trabajo</v>
      </c>
      <c r="F10" t="str" s="24">
        <v>Administrativo</v>
      </c>
      <c r="G10" t="str" s="24">
        <v>Revisar distribución de carga y pausas</v>
      </c>
      <c r="H10" t="str" s="24">
        <v>Jefatura de operaciones</v>
      </c>
      <c r="I10" t="str" s="24">
        <v>2026-08-15</v>
      </c>
      <c r="J10" t="str" s="25">
        <v>pendiente</v>
      </c>
    </row>
    <row r="11">
      <c r="A11" t="str" s="23">
        <v>Recepción, almacenamiento y despacho</v>
      </c>
      <c r="B11" t="str" s="23">
        <v>Operador de bodega</v>
      </c>
      <c r="C11" t="str" s="23">
        <v>Recepcionar y almacenar materiales</v>
      </c>
      <c r="D11" t="str" s="23">
        <v>R1</v>
      </c>
      <c r="E11" t="str" s="23">
        <v>Manipulación manual de cargas</v>
      </c>
      <c r="F11" t="str" s="23">
        <v>Administrativo</v>
      </c>
      <c r="G11" t="str" s="23">
        <v>Incorporar ayuda mecánica para cargas</v>
      </c>
      <c r="H11" t="str" s="23">
        <v>Jefatura de operaciones</v>
      </c>
      <c r="I11" t="str" s="23">
        <v>2026-08-15</v>
      </c>
      <c r="J11" t="str" s="25">
        <v>pendiente</v>
      </c>
    </row>
  </sheetData>
  <autoFilter ref="A2:J11"/>
  <mergeCells count="1">
    <mergeCell ref="A1:J1"/>
  </mergeCells>
  <ignoredErrors>
    <ignoredError numberStoredAsText="1" sqref="A1:J11"/>
  </ignoredErrors>
  <printOptions horizontalCentered="1"/>
  <pageMargins left="0.25" right="0.25" top="0.35" bottom="0.45" header="0.15" footer="0.2"/>
  <pageSetup paperSize="9" orientation="landscape" fitToWidth="1" fitToHeight="0"/>
  <headerFooter>
    <oddFooter>NextPrev |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pane ySplit="2" topLeftCell="A3" activePane="bottomLeft" state="frozen"/>
    </sheetView>
  </sheetViews>
  <cols>
    <col min="1" max="1" width="12.83203125" customWidth="1"/>
    <col min="2" max="2" width="18.83203125" customWidth="1"/>
    <col min="3" max="3" width="34.83203125" customWidth="1"/>
    <col min="4" max="4" width="52.83203125" customWidth="1"/>
    <col min="5" max="5" width="18.83203125" customWidth="1"/>
    <col min="6" max="6" width="20.83203125" customWidth="1"/>
    <col min="7" max="7" width="28.83203125" customWidth="1"/>
  </cols>
  <sheetData>
    <row r="1">
      <c r="A1" t="str" s="21">
        <v>Catálogo ISP utilizado en esta matriz</v>
      </c>
    </row>
    <row r="2">
      <c r="A2" t="str" s="22">
        <v>Código ISP</v>
      </c>
      <c r="B2" t="str" s="22">
        <v>Familia</v>
      </c>
      <c r="C2" t="str" s="22">
        <v>Riesgo</v>
      </c>
      <c r="D2" t="str" s="22">
        <v>Definición</v>
      </c>
      <c r="E2" t="str" s="22">
        <v>Categoría</v>
      </c>
      <c r="F2" t="str" s="22">
        <v>Metodología</v>
      </c>
      <c r="G2" t="str" s="22">
        <v>Protocolo</v>
      </c>
    </row>
    <row r="3">
      <c r="A3" t="str" s="23">
        <v>A1</v>
      </c>
      <c r="B3" t="str" s="23">
        <v>Caída de personas</v>
      </c>
      <c r="C3" t="str" s="23">
        <v>Caídas al mismo nivel</v>
      </c>
      <c r="D3" t="str" s="23">
        <v>Caída que se produce en el mismo plano de sustentación, por ejemplo: caídas en lugares de tránsito o superficies de trabajo, caídas sobre o contra objetos.</v>
      </c>
      <c r="E3" t="str" s="23">
        <v>seguridad</v>
      </c>
      <c r="F3" t="str" s="23">
        <v>vep_isp</v>
      </c>
      <c r="G3" t="str" s="23">
        <v/>
      </c>
    </row>
    <row r="4">
      <c r="A4" t="str" s="24">
        <v>B2</v>
      </c>
      <c r="B4" t="str" s="24">
        <v>Contacto con objetos</v>
      </c>
      <c r="C4" t="str" s="24">
        <v>Caída de objetos</v>
      </c>
      <c r="D4" t="str" s="24">
        <v>Caída de elementos que golpean al cuerpo, por ejemplo, materiales, herramientas, estructuras, etc.</v>
      </c>
      <c r="E4" t="str" s="24">
        <v>seguridad</v>
      </c>
      <c r="F4" t="str" s="24">
        <v>vep_isp</v>
      </c>
      <c r="G4" t="str" s="24">
        <v/>
      </c>
    </row>
    <row r="5">
      <c r="A5" t="str" s="23">
        <v>B3</v>
      </c>
      <c r="B5" t="str" s="23">
        <v>Contacto con objetos</v>
      </c>
      <c r="C5" t="str" s="23">
        <v>Cortes por objetos / herramientas corto-punzantes</v>
      </c>
      <c r="D5" t="str" s="23">
        <v>Cortes y/o punzaciones generadas en parte del cuerpo debido al contacto de éste con objetos cortantes, punzantes y/o abrasivos.</v>
      </c>
      <c r="E5" t="str" s="23">
        <v>seguridad</v>
      </c>
      <c r="F5" t="str" s="23">
        <v>vep_isp</v>
      </c>
      <c r="G5" t="str" s="23">
        <v/>
      </c>
    </row>
    <row r="6">
      <c r="A6" t="str" s="24">
        <v>F1</v>
      </c>
      <c r="B6" t="str" s="24">
        <v>Contacto con energía eléctrica</v>
      </c>
      <c r="C6" t="str" s="24">
        <v>Contactos eléctricos directos baja tensión</v>
      </c>
      <c r="D6" t="str" s="24">
        <v>Es todo contacto directo de las personas con partes activas en tensión (trabajando con tensiones menores a 1000 volts).</v>
      </c>
      <c r="E6" t="str" s="24">
        <v>seguridad</v>
      </c>
      <c r="F6" t="str" s="24">
        <v>vep_isp</v>
      </c>
      <c r="G6" t="str" s="24">
        <v/>
      </c>
    </row>
    <row r="7">
      <c r="A7" t="str" s="23">
        <v>P1</v>
      </c>
      <c r="B7" t="str" s="23">
        <v>Exposición a agentes físicos</v>
      </c>
      <c r="C7" t="str" s="23">
        <v>Exposición a ruido</v>
      </c>
      <c r="D7" t="str" s="23">
        <v>Permanencia en un ambiente de trabajo con presencia continua de altos niveles de presión sonora (en forma estable o fluctuante), con la potencialidad de alterar el órgano de la audición.</v>
      </c>
      <c r="E7" t="str" s="23">
        <v>higienico</v>
      </c>
      <c r="F7" t="str" s="23">
        <v>evaluacion_especifica</v>
      </c>
      <c r="G7" t="str" s="23">
        <v>Protocolo de Exposición Ocupacional a Ruido (PREXOR)</v>
      </c>
    </row>
    <row r="8" xml:space="preserve">
      <c r="A8" t="str" s="24">
        <v>R1</v>
      </c>
      <c r="B8" t="str" s="24">
        <v>Manejo o Manipulación Manual de Carga (MMC) o personas /Pacientes (MMP)</v>
      </c>
      <c r="C8" t="str" s="24">
        <v>Sobrecarga física debido a la manipulación manual de cargas</v>
      </c>
      <c r="D8" t="str" xml:space="preserve" s="24">
        <v xml:space="preserve">Trabajos en donde se deban levantar, descender o transportar manualmente objetos de más de 3 kilos.
Trabajos en donde se deban empujar o arrastrar objetos utilizando 1 o 2 manos.</v>
      </c>
      <c r="E8" t="str" s="24">
        <v>musculoesqueletico</v>
      </c>
      <c r="F8" t="str" s="24">
        <v>evaluacion_especifica</v>
      </c>
      <c r="G8" t="str" s="24">
        <v>Guía técnica para la evaluación y control de riesgos asociados al manejo o manipulación manual de carga</v>
      </c>
    </row>
    <row r="9">
      <c r="A9" t="str" s="23">
        <v>D1</v>
      </c>
      <c r="B9" t="str" s="23">
        <v>Riesgos psicosociales laborales</v>
      </c>
      <c r="C9" t="str" s="23">
        <v>1. Dimensión carga de trabajo (CT).</v>
      </c>
      <c r="D9" t="str" s="23">
        <v>La carga de trabajo son las exigencias que se le hacen a los trabajadores y trabajadoras para que cumplan con un determinado objetivo o tarea en un tiempo acotado o limitado. Es decir, en la carga de trabajo existe una relación entre la cantidad de tareas y el tiempo en que se deben realizar, que puede ser desde minutos hasta semanas o más.</v>
      </c>
      <c r="E9" t="str" s="23">
        <v>psicosocial</v>
      </c>
      <c r="F9" t="str" s="23">
        <v>evaluacion_especifica</v>
      </c>
      <c r="G9" t="str" s="23">
        <v>Protocolo de vigilancia de riesgos psicosociales en el trabajo</v>
      </c>
    </row>
  </sheetData>
  <autoFilter ref="A2:G9"/>
  <mergeCells count="1">
    <mergeCell ref="A1:G1"/>
  </mergeCells>
  <ignoredErrors>
    <ignoredError numberStoredAsText="1" sqref="A1:G9"/>
  </ignoredErrors>
  <printOptions horizontalCentered="1"/>
  <pageMargins left="0.25" right="0.25" top="0.35" bottom="0.45" header="0.15" footer="0.2"/>
  <pageSetup paperSize="9" orientation="landscape" fitToWidth="1" fitToHeight="0"/>
  <headerFooter>
    <oddFooter>NextPrev |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pane ySplit="6" topLeftCell="A7" activePane="bottomLeft" state="frozen"/>
    </sheetView>
  </sheetViews>
  <cols>
    <col min="1" max="1" width="16.83203125" customWidth="1"/>
    <col min="2" max="2" width="16.83203125" customWidth="1"/>
    <col min="3" max="3" width="18.83203125" customWidth="1"/>
    <col min="4" max="4" width="34.83203125" customWidth="1"/>
    <col min="5" max="5" width="18.83203125" customWidth="1"/>
    <col min="6" max="6" width="36.83203125" customWidth="1"/>
    <col min="7" max="7" width="42.83203125" customWidth="1"/>
  </cols>
  <sheetData>
    <row r="1">
      <c r="A1" t="str" s="21">
        <v>Trazabilidad documental y técnica</v>
      </c>
    </row>
    <row r="2">
      <c r="A2" t="str" s="4">
        <v>Código</v>
      </c>
      <c r="B2" t="str" s="5">
        <v>MIPER-PRUEBA-001</v>
      </c>
      <c r="C2" t="str" s="4">
        <v>Versión</v>
      </c>
      <c r="D2" s="5">
        <v>1</v>
      </c>
      <c r="E2" t="str" s="4">
        <v>Estado</v>
      </c>
      <c r="F2" t="str" s="5">
        <v>borrador</v>
      </c>
    </row>
    <row r="3">
      <c r="A3" t="str" s="4">
        <v>Versión anterior</v>
      </c>
      <c r="B3" t="str" s="5">
        <v>No informado</v>
      </c>
      <c r="C3" t="str" s="4">
        <v>Fecha descarga</v>
      </c>
      <c r="D3" t="str" s="5">
        <v>2026-07-20</v>
      </c>
      <c r="E3" t="str" s="4">
        <v>Nota legacy</v>
      </c>
      <c r="F3" t="str" s="5">
        <v>Sin registros legacy_5x5.</v>
      </c>
    </row>
    <row r="4">
      <c r="A4" t="str" s="4">
        <v>Elaborado por</v>
      </c>
      <c r="B4" t="str" s="5">
        <v>Diana Marín · Prevencionista de riesgos</v>
      </c>
      <c r="C4" t="str" s="4">
        <v>Revisado por</v>
      </c>
      <c r="D4" t="str" s="5">
        <v>Pendiente</v>
      </c>
      <c r="E4" t="str" s="4">
        <v>Aprobado por</v>
      </c>
      <c r="F4" t="str" s="5">
        <v>Pendiente</v>
      </c>
    </row>
    <row r="6">
      <c r="A6" t="str" s="22">
        <v>ID ítem</v>
      </c>
      <c r="B6" t="str" s="22">
        <v>ID tarea</v>
      </c>
      <c r="C6" t="str" s="22">
        <v>Metodología</v>
      </c>
      <c r="D6" t="str" s="22">
        <v>Motivo sugerencia</v>
      </c>
      <c r="E6" t="str" s="22">
        <v>Estado técnico</v>
      </c>
      <c r="F6" t="str" s="22">
        <v>Observación interna</v>
      </c>
      <c r="G6" t="str" s="22">
        <v>Auditoría</v>
      </c>
    </row>
    <row r="7">
      <c r="A7" t="str" s="23">
        <v>i1</v>
      </c>
      <c r="B7" t="str" s="23">
        <v>t1</v>
      </c>
      <c r="C7" t="str" s="23">
        <v>vep_isp</v>
      </c>
      <c r="D7" t="str" s="23">
        <v>Confirmado durante levantamiento ISP</v>
      </c>
      <c r="E7" t="str" s="23">
        <v>vep</v>
      </c>
      <c r="F7" t="str" s="23">
        <v/>
      </c>
      <c r="G7" t="str" s="23">
        <v>Responsable: Jefatura de operaciones | Protocolo: No informado</v>
      </c>
    </row>
    <row r="8">
      <c r="A8" t="str" s="24">
        <v>i2</v>
      </c>
      <c r="B8" t="str" s="24">
        <v>t1</v>
      </c>
      <c r="C8" t="str" s="24">
        <v>vep_isp</v>
      </c>
      <c r="D8" t="str" s="24">
        <v>Confirmado durante levantamiento ISP</v>
      </c>
      <c r="E8" t="str" s="24">
        <v>vep</v>
      </c>
      <c r="F8" t="str" s="24">
        <v/>
      </c>
      <c r="G8" t="str" s="24">
        <v>Responsable: Jefatura de operaciones | Protocolo: No informado</v>
      </c>
    </row>
    <row r="9">
      <c r="A9" t="str" s="23">
        <v>i3</v>
      </c>
      <c r="B9" t="str" s="23">
        <v>t2</v>
      </c>
      <c r="C9" t="str" s="23">
        <v>vep_isp</v>
      </c>
      <c r="D9" t="str" s="23">
        <v>Confirmado durante levantamiento ISP</v>
      </c>
      <c r="E9" t="str" s="23">
        <v>vep</v>
      </c>
      <c r="F9" t="str" s="23">
        <v/>
      </c>
      <c r="G9" t="str" s="23">
        <v>Responsable: Jefatura de operaciones | Protocolo: No informado</v>
      </c>
    </row>
    <row r="10">
      <c r="A10" t="str" s="24">
        <v>i4</v>
      </c>
      <c r="B10" t="str" s="24">
        <v>t2</v>
      </c>
      <c r="C10" t="str" s="24">
        <v>vep_isp</v>
      </c>
      <c r="D10" t="str" s="24">
        <v>Confirmado durante levantamiento ISP</v>
      </c>
      <c r="E10" t="str" s="24">
        <v>vep</v>
      </c>
      <c r="F10" t="str" s="24">
        <v/>
      </c>
      <c r="G10" t="str" s="24">
        <v>Responsable: Jefatura de operaciones | Protocolo: No informado</v>
      </c>
    </row>
    <row r="11">
      <c r="A11" t="str" s="23">
        <v>i5</v>
      </c>
      <c r="B11" t="str" s="23">
        <v>t4</v>
      </c>
      <c r="C11" t="str" s="23">
        <v>vep_isp</v>
      </c>
      <c r="D11" t="str" s="23">
        <v>Confirmado durante levantamiento ISP</v>
      </c>
      <c r="E11" t="str" s="23">
        <v>vep</v>
      </c>
      <c r="F11" t="str" s="23">
        <v/>
      </c>
      <c r="G11" t="str" s="23">
        <v>Responsable: Jefatura de operaciones | Protocolo: No informado</v>
      </c>
    </row>
    <row r="12">
      <c r="A12" t="str" s="24">
        <v>i6</v>
      </c>
      <c r="B12" t="str" s="24">
        <v>t2</v>
      </c>
      <c r="C12" t="str" s="24">
        <v>evaluacion_especifica</v>
      </c>
      <c r="D12" t="str" s="24">
        <v>Confirmado durante levantamiento ISP</v>
      </c>
      <c r="E12" t="str" s="24">
        <v>evaluado</v>
      </c>
      <c r="F12" t="str" s="24">
        <v>Medición higiénica programada</v>
      </c>
      <c r="G12" t="str" s="24">
        <v>Responsable: Jefatura de operaciones | Protocolo: PREXOR</v>
      </c>
    </row>
    <row r="13">
      <c r="A13" t="str" s="23">
        <v>i7</v>
      </c>
      <c r="B13" t="str" s="23">
        <v>t3</v>
      </c>
      <c r="C13" t="str" s="23">
        <v>evaluacion_especifica</v>
      </c>
      <c r="D13" t="str" s="23">
        <v>Confirmado durante levantamiento ISP</v>
      </c>
      <c r="E13" t="str" s="23">
        <v>evaluado</v>
      </c>
      <c r="F13" t="str" s="23">
        <v>Resultado por unidad</v>
      </c>
      <c r="G13" t="str" s="23">
        <v>Responsable: Jefatura de operaciones | Protocolo: CEAL-SM/SUSESO</v>
      </c>
    </row>
    <row r="14">
      <c r="A14" t="str" s="24">
        <v>i8</v>
      </c>
      <c r="B14" t="str" s="24">
        <v>t1</v>
      </c>
      <c r="C14" t="str" s="24">
        <v>evaluacion_especifica</v>
      </c>
      <c r="D14" t="str" s="24">
        <v>Confirmado durante levantamiento ISP</v>
      </c>
      <c r="E14" t="str" s="24">
        <v>evaluado</v>
      </c>
      <c r="F14" t="str" s="24">
        <v>Evaluación inicial</v>
      </c>
      <c r="G14" t="str" s="24">
        <v>Responsable: Jefatura de operaciones | Protocolo: MMC</v>
      </c>
    </row>
  </sheetData>
  <autoFilter ref="A6:G14"/>
  <mergeCells count="1">
    <mergeCell ref="A1:G1"/>
  </mergeCells>
  <ignoredErrors>
    <ignoredError numberStoredAsText="1" sqref="A1:G14"/>
  </ignoredErrors>
  <printOptions horizontalCentered="1"/>
  <pageMargins left="0.25" right="0.25" top="0.35" bottom="0.45" header="0.15" footer="0.2"/>
  <pageSetup paperSize="9" orientation="landscape" fitToWidth="1" fitToHeight="0"/>
  <headerFooter>
    <oddFooter>NextPrev | Trazabilidad MIPER |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MIPER</vt:lpstr>
      <vt:lpstr>LEVANTAMIENTO</vt:lpstr>
      <vt:lpstr>CONTROLES</vt:lpstr>
      <vt:lpstr>CATALOGO ISP</vt:lpstr>
      <vt:lpstr>TRAZABILIDAD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